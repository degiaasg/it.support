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omments1.xml" ContentType="application/vnd.openxmlformats-officedocument.spreadsheetml.comments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omments2.xml" ContentType="application/vnd.openxmlformats-officedocument.spreadsheetml.comments+xml"/>
  <Override PartName="/xl/tables/table22.xml" ContentType="application/vnd.openxmlformats-officedocument.spreadsheetml.table+xml"/>
  <Override PartName="/xl/comments3.xml" ContentType="application/vnd.openxmlformats-officedocument.spreadsheetml.comments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user/Desktop/My Project/GitHub/Local/it-assets/data/excel/"/>
    </mc:Choice>
  </mc:AlternateContent>
  <xr:revisionPtr revIDLastSave="0" documentId="13_ncr:1_{2A7012F6-563A-A84E-91A7-17B4A2538661}" xr6:coauthVersionLast="47" xr6:coauthVersionMax="47" xr10:uidLastSave="{00000000-0000-0000-0000-000000000000}"/>
  <bookViews>
    <workbookView xWindow="0" yWindow="500" windowWidth="33600" windowHeight="19560" tabRatio="685" firstSheet="8" activeTab="18" xr2:uid="{00000000-000D-0000-FFFF-FFFF00000000}"/>
  </bookViews>
  <sheets>
    <sheet name="EMPLOYEES" sheetId="1" r:id="rId1"/>
    <sheet name="LEVEL" sheetId="2" r:id="rId2"/>
    <sheet name="Organization" sheetId="24" r:id="rId3"/>
    <sheet name="DIRECTORATE" sheetId="3" r:id="rId4"/>
    <sheet name="DIVISION" sheetId="4" r:id="rId5"/>
    <sheet name="DEPARTEMENT" sheetId="5" r:id="rId6"/>
    <sheet name="SUB-DEPARTEMENT" sheetId="6" r:id="rId7"/>
    <sheet name="BUSINESS-UNIT" sheetId="7" r:id="rId8"/>
    <sheet name="CORP" sheetId="8" r:id="rId9"/>
    <sheet name="SITE" sheetId="14" r:id="rId10"/>
    <sheet name="EMAIL" sheetId="10" r:id="rId11"/>
    <sheet name="AD" sheetId="11" r:id="rId12"/>
    <sheet name="ME" sheetId="21" r:id="rId13"/>
    <sheet name="TASK" sheetId="22" r:id="rId14"/>
    <sheet name="WH" sheetId="23" r:id="rId15"/>
    <sheet name="AM" sheetId="12" r:id="rId16"/>
    <sheet name="CATEGORY_ASSETS" sheetId="25" r:id="rId17"/>
    <sheet name="CATEGORY_DEVICE" sheetId="16" r:id="rId18"/>
    <sheet name="COMPD" sheetId="15" r:id="rId19"/>
    <sheet name="PARTS" sheetId="38" r:id="rId20"/>
    <sheet name="Q-WS" sheetId="20" r:id="rId21"/>
    <sheet name="DOC.FORM" sheetId="32" r:id="rId22"/>
    <sheet name="DOC.BOQ" sheetId="33" r:id="rId23"/>
    <sheet name="DOC.WPR" sheetId="36" r:id="rId24"/>
    <sheet name="DOC.PO" sheetId="37" r:id="rId25"/>
    <sheet name="DOC.BAST" sheetId="26" r:id="rId26"/>
  </sheets>
  <definedNames>
    <definedName name="cabling">#REF!</definedName>
    <definedName name="license">#REF!</definedName>
    <definedName name="nextDate">#REF!</definedName>
    <definedName name="pEnd">#REF!</definedName>
    <definedName name="thisDate">#REF!</definedName>
    <definedName name="valuevx">42.314159</definedName>
    <definedName name="vertex42_copyright" hidden="1">"© 2017 Vertex42 LLC"</definedName>
    <definedName name="vertex42_id" hidden="1">"project-planner.xlsx"</definedName>
    <definedName name="vertex42_title" hidden="1">"Project Planner Template"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36" l="1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Q5" i="33"/>
  <c r="L16" i="32" a="1"/>
  <c r="L16" i="32" s="1"/>
  <c r="S16" i="32" s="1" a="1"/>
  <c r="S16" i="32" s="1"/>
  <c r="T16" i="32" s="1" a="1"/>
  <c r="T16" i="32" s="1"/>
  <c r="C16" i="32" a="1"/>
  <c r="C16" i="32" s="1"/>
  <c r="B16" i="32"/>
  <c r="L15" i="32" a="1"/>
  <c r="L15" i="32" s="1"/>
  <c r="S15" i="32" s="1" a="1"/>
  <c r="S15" i="32" s="1"/>
  <c r="T15" i="32" s="1" a="1"/>
  <c r="T15" i="32" s="1"/>
  <c r="C15" i="32" a="1"/>
  <c r="C15" i="32" s="1"/>
  <c r="B15" i="32"/>
  <c r="L14" i="32" a="1"/>
  <c r="L14" i="32" s="1"/>
  <c r="S14" i="32" s="1" a="1"/>
  <c r="S14" i="32" s="1"/>
  <c r="T14" i="32" s="1" a="1"/>
  <c r="T14" i="32" s="1"/>
  <c r="C14" i="32" a="1"/>
  <c r="C14" i="32" s="1"/>
  <c r="B14" i="32"/>
  <c r="L13" i="32" a="1"/>
  <c r="L13" i="32" s="1"/>
  <c r="S13" i="32" s="1" a="1"/>
  <c r="S13" i="32" s="1"/>
  <c r="T13" i="32" s="1" a="1"/>
  <c r="T13" i="32" s="1"/>
  <c r="C13" i="32"/>
  <c r="C13" i="32" a="1"/>
  <c r="B13" i="32"/>
  <c r="L12" i="32"/>
  <c r="S12" i="32" s="1" a="1"/>
  <c r="S12" i="32" s="1"/>
  <c r="T12" i="32" s="1" a="1"/>
  <c r="T12" i="32" s="1"/>
  <c r="L12" i="32" a="1"/>
  <c r="C12" i="32" a="1"/>
  <c r="C12" i="32" s="1"/>
  <c r="B12" i="32"/>
  <c r="L11" i="32" a="1"/>
  <c r="L11" i="32" s="1"/>
  <c r="S11" i="32" s="1" a="1"/>
  <c r="S11" i="32" s="1"/>
  <c r="T11" i="32" s="1" a="1"/>
  <c r="T11" i="32" s="1"/>
  <c r="C11" i="32" a="1"/>
  <c r="C11" i="32" s="1"/>
  <c r="B11" i="32"/>
  <c r="L10" i="32" a="1"/>
  <c r="L10" i="32" s="1"/>
  <c r="S10" i="32" s="1" a="1"/>
  <c r="S10" i="32" s="1"/>
  <c r="T10" i="32" s="1" a="1"/>
  <c r="T10" i="32" s="1"/>
  <c r="C10" i="32" a="1"/>
  <c r="C10" i="32" s="1"/>
  <c r="B10" i="32"/>
  <c r="L9" i="32" a="1"/>
  <c r="L9" i="32" s="1"/>
  <c r="S9" i="32" s="1" a="1"/>
  <c r="S9" i="32" s="1"/>
  <c r="T9" i="32" s="1" a="1"/>
  <c r="T9" i="32" s="1"/>
  <c r="C9" i="32" a="1"/>
  <c r="C9" i="32" s="1"/>
  <c r="B9" i="32"/>
  <c r="L8" i="32"/>
  <c r="S8" i="32" s="1" a="1"/>
  <c r="S8" i="32" s="1"/>
  <c r="T8" i="32" s="1" a="1"/>
  <c r="T8" i="32" s="1"/>
  <c r="L8" i="32" a="1"/>
  <c r="C8" i="32" a="1"/>
  <c r="C8" i="32" s="1"/>
  <c r="B8" i="32"/>
  <c r="L7" i="32" a="1"/>
  <c r="L7" i="32" s="1"/>
  <c r="S7" i="32" s="1" a="1"/>
  <c r="S7" i="32" s="1"/>
  <c r="T7" i="32" s="1" a="1"/>
  <c r="T7" i="32" s="1"/>
  <c r="C7" i="32" a="1"/>
  <c r="C7" i="32" s="1"/>
  <c r="B7" i="32"/>
  <c r="E4" i="32"/>
  <c r="F24" i="26" l="1"/>
  <c r="E24" i="26"/>
  <c r="C24" i="26"/>
  <c r="F23" i="26"/>
  <c r="E23" i="26"/>
  <c r="C23" i="26"/>
  <c r="F22" i="26"/>
  <c r="E22" i="26"/>
  <c r="C22" i="26"/>
  <c r="F21" i="26"/>
  <c r="E21" i="26"/>
  <c r="C21" i="26"/>
  <c r="F20" i="26"/>
  <c r="E20" i="26"/>
  <c r="C20" i="26"/>
  <c r="F19" i="26"/>
  <c r="E19" i="26"/>
  <c r="C19" i="26"/>
  <c r="F18" i="26"/>
  <c r="E18" i="26"/>
  <c r="C18" i="26"/>
  <c r="F17" i="26"/>
  <c r="E17" i="26"/>
  <c r="C17" i="26"/>
  <c r="F16" i="26"/>
  <c r="E16" i="26"/>
  <c r="C16" i="26"/>
  <c r="F15" i="26"/>
  <c r="E15" i="26"/>
  <c r="C15" i="26"/>
  <c r="F14" i="26"/>
  <c r="E14" i="26"/>
  <c r="C14" i="26"/>
  <c r="F13" i="26"/>
  <c r="E13" i="26"/>
  <c r="C13" i="26"/>
  <c r="F12" i="26"/>
  <c r="E12" i="26"/>
  <c r="C12" i="26"/>
  <c r="F11" i="26"/>
  <c r="E11" i="26"/>
  <c r="C11" i="26"/>
  <c r="F10" i="26"/>
  <c r="E10" i="26"/>
  <c r="C10" i="26"/>
  <c r="F9" i="26"/>
  <c r="E9" i="26"/>
  <c r="C9" i="26"/>
  <c r="F8" i="26"/>
  <c r="E8" i="26"/>
  <c r="C8" i="26"/>
  <c r="F7" i="26"/>
  <c r="E7" i="26"/>
  <c r="C7" i="26"/>
  <c r="F6" i="26"/>
  <c r="E6" i="26"/>
  <c r="C6" i="26"/>
  <c r="S15" i="12" l="1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W17" i="15" s="1"/>
  <c r="F18" i="15"/>
  <c r="W18" i="15" s="1"/>
  <c r="F19" i="15"/>
  <c r="W19" i="15" s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G5" i="23"/>
  <c r="G6" i="23"/>
  <c r="G3" i="23" s="1" a="1"/>
  <c r="G3" i="23" s="1"/>
  <c r="G7" i="23"/>
  <c r="G8" i="23"/>
  <c r="B5" i="23"/>
  <c r="B6" i="23"/>
  <c r="B7" i="23"/>
  <c r="B8" i="23"/>
  <c r="E3" i="23" a="1"/>
  <c r="E3" i="23" s="1"/>
  <c r="F3" i="23" a="1"/>
  <c r="F3" i="23" s="1"/>
  <c r="D3" i="23" a="1"/>
  <c r="D3" i="23" s="1"/>
  <c r="AP5" i="15" a="1"/>
  <c r="AP5" i="15" s="1"/>
  <c r="AP6" i="15" a="1"/>
  <c r="AP6" i="15" s="1"/>
  <c r="AP7" i="15" a="1"/>
  <c r="AP7" i="15" s="1"/>
  <c r="AP8" i="15" a="1"/>
  <c r="AP8" i="15" s="1"/>
  <c r="AP9" i="15" a="1"/>
  <c r="AP9" i="15" s="1"/>
  <c r="AP10" i="15" a="1"/>
  <c r="AP10" i="15" s="1"/>
  <c r="AP11" i="15" a="1"/>
  <c r="AP11" i="15" s="1"/>
  <c r="AP12" i="15" a="1"/>
  <c r="AP12" i="15" s="1"/>
  <c r="AP13" i="15" a="1"/>
  <c r="AP13" i="15" s="1"/>
  <c r="AP14" i="15" a="1"/>
  <c r="AP14" i="15" s="1"/>
  <c r="AP15" i="15" a="1"/>
  <c r="AP15" i="15" s="1"/>
  <c r="AP16" i="15" a="1"/>
  <c r="AP16" i="15" s="1"/>
  <c r="AP17" i="15" a="1"/>
  <c r="AP17" i="15" s="1"/>
  <c r="AP18" i="15" a="1"/>
  <c r="AP18" i="15" s="1"/>
  <c r="AP19" i="15" a="1"/>
  <c r="AP19" i="15" s="1"/>
  <c r="AM19" i="15"/>
  <c r="AM5" i="15"/>
  <c r="AM6" i="15"/>
  <c r="AM7" i="15"/>
  <c r="AM8" i="15"/>
  <c r="AM9" i="15"/>
  <c r="AM10" i="15"/>
  <c r="AM11" i="15"/>
  <c r="AM12" i="15"/>
  <c r="AM13" i="15"/>
  <c r="AM14" i="15"/>
  <c r="AM15" i="15"/>
  <c r="AM16" i="15"/>
  <c r="AM17" i="15"/>
  <c r="AM18" i="15"/>
  <c r="AX19" i="15"/>
  <c r="AX18" i="15"/>
  <c r="I17" i="12"/>
  <c r="K17" i="12"/>
  <c r="M17" i="12"/>
  <c r="R17" i="12"/>
  <c r="AX5" i="15"/>
  <c r="AX6" i="15"/>
  <c r="AX7" i="15"/>
  <c r="AX8" i="15"/>
  <c r="AX9" i="15"/>
  <c r="AX10" i="15"/>
  <c r="AX11" i="15"/>
  <c r="AX12" i="15"/>
  <c r="AX13" i="15"/>
  <c r="AX14" i="15"/>
  <c r="AX15" i="15"/>
  <c r="AX16" i="15"/>
  <c r="AX17" i="15"/>
  <c r="B3" i="23" l="1" a="1"/>
  <c r="B3" i="23" s="1"/>
  <c r="BA19" i="15"/>
  <c r="BA18" i="15"/>
  <c r="S17" i="12"/>
  <c r="BA17" i="15"/>
  <c r="E5" i="20" l="1"/>
  <c r="E6" i="20"/>
  <c r="F6" i="20" s="1"/>
  <c r="E7" i="20"/>
  <c r="E8" i="20"/>
  <c r="E9" i="20"/>
  <c r="E10" i="20"/>
  <c r="E11" i="20"/>
  <c r="E12" i="20"/>
  <c r="E13" i="20"/>
  <c r="E14" i="20"/>
  <c r="E15" i="20"/>
  <c r="F15" i="20" s="1"/>
  <c r="E16" i="20"/>
  <c r="F16" i="20" s="1"/>
  <c r="E17" i="20"/>
  <c r="E18" i="20"/>
  <c r="E19" i="20"/>
  <c r="E20" i="20"/>
  <c r="E21" i="20"/>
  <c r="E22" i="20"/>
  <c r="E23" i="20"/>
  <c r="E24" i="20"/>
  <c r="E25" i="20"/>
  <c r="E26" i="20"/>
  <c r="E27" i="20"/>
  <c r="F27" i="20" s="1"/>
  <c r="E28" i="20"/>
  <c r="F28" i="20" s="1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F51" i="20" s="1"/>
  <c r="E52" i="20"/>
  <c r="F52" i="20" s="1"/>
  <c r="E53" i="20"/>
  <c r="E54" i="20"/>
  <c r="F5" i="20"/>
  <c r="F7" i="20"/>
  <c r="F8" i="20"/>
  <c r="F9" i="20"/>
  <c r="F10" i="20"/>
  <c r="F11" i="20"/>
  <c r="F12" i="20"/>
  <c r="F13" i="20"/>
  <c r="F14" i="20"/>
  <c r="F17" i="20"/>
  <c r="F18" i="20"/>
  <c r="F19" i="20"/>
  <c r="F20" i="20"/>
  <c r="F21" i="20"/>
  <c r="F22" i="20"/>
  <c r="F23" i="20"/>
  <c r="F24" i="20"/>
  <c r="F25" i="20"/>
  <c r="F26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3" i="20"/>
  <c r="F54" i="20"/>
  <c r="C3" i="22" a="1"/>
  <c r="C3" i="22" s="1"/>
  <c r="E3" i="22" a="1"/>
  <c r="E3" i="22" s="1"/>
  <c r="D5" i="22"/>
  <c r="D6" i="22"/>
  <c r="D7" i="22"/>
  <c r="D8" i="22"/>
  <c r="F5" i="22"/>
  <c r="F3" i="22" s="1" a="1"/>
  <c r="F3" i="22" s="1"/>
  <c r="F6" i="22"/>
  <c r="F7" i="22"/>
  <c r="F8" i="22"/>
  <c r="B5" i="22"/>
  <c r="B3" i="22" s="1" a="1"/>
  <c r="B3" i="22" s="1"/>
  <c r="B6" i="22"/>
  <c r="B7" i="22"/>
  <c r="B8" i="22"/>
  <c r="C2" i="15" a="1"/>
  <c r="C2" i="15" s="1"/>
  <c r="D2" i="15" a="1"/>
  <c r="D2" i="15" s="1"/>
  <c r="E2" i="15" a="1"/>
  <c r="E2" i="15" s="1"/>
  <c r="G2" i="15" a="1"/>
  <c r="G2" i="15" s="1"/>
  <c r="H2" i="15" a="1"/>
  <c r="H2" i="15" s="1"/>
  <c r="I2" i="15" a="1"/>
  <c r="I2" i="15" s="1"/>
  <c r="J2" i="15" a="1"/>
  <c r="J2" i="15" s="1"/>
  <c r="K2" i="15" a="1"/>
  <c r="K2" i="15" s="1"/>
  <c r="L2" i="15" a="1"/>
  <c r="L2" i="15" s="1"/>
  <c r="M2" i="15" a="1"/>
  <c r="M2" i="15" s="1"/>
  <c r="N2" i="15" a="1"/>
  <c r="N2" i="15" s="1"/>
  <c r="O2" i="15" a="1"/>
  <c r="O2" i="15" s="1"/>
  <c r="P2" i="15" a="1"/>
  <c r="P2" i="15" s="1"/>
  <c r="Q2" i="15" a="1"/>
  <c r="Q2" i="15" s="1"/>
  <c r="R2" i="15" a="1"/>
  <c r="R2" i="15" s="1"/>
  <c r="S2" i="15" a="1"/>
  <c r="S2" i="15" s="1"/>
  <c r="T2" i="15" a="1"/>
  <c r="T2" i="15" s="1"/>
  <c r="U2" i="15" a="1"/>
  <c r="U2" i="15" s="1"/>
  <c r="V2" i="15" a="1"/>
  <c r="V2" i="15" s="1"/>
  <c r="X2" i="15" a="1"/>
  <c r="X2" i="15" s="1"/>
  <c r="Y2" i="15" a="1"/>
  <c r="Y2" i="15" s="1"/>
  <c r="Z2" i="15" a="1"/>
  <c r="Z2" i="15" s="1"/>
  <c r="AA2" i="15" a="1"/>
  <c r="AA2" i="15" s="1"/>
  <c r="AB2" i="15" a="1"/>
  <c r="AB2" i="15" s="1"/>
  <c r="AC2" i="15" a="1"/>
  <c r="AC2" i="15" s="1"/>
  <c r="AD2" i="15" a="1"/>
  <c r="AD2" i="15" s="1"/>
  <c r="AE2" i="15" a="1"/>
  <c r="AE2" i="15" s="1"/>
  <c r="AF2" i="15" a="1"/>
  <c r="AF2" i="15" s="1"/>
  <c r="AG2" i="15" a="1"/>
  <c r="AG2" i="15" s="1"/>
  <c r="AH2" i="15" a="1"/>
  <c r="AH2" i="15" s="1"/>
  <c r="AI2" i="15" a="1"/>
  <c r="AI2" i="15" s="1"/>
  <c r="AJ2" i="15" a="1"/>
  <c r="AJ2" i="15" s="1"/>
  <c r="AK2" i="15" a="1"/>
  <c r="AK2" i="15" s="1"/>
  <c r="AL2" i="15" a="1"/>
  <c r="AL2" i="15" s="1"/>
  <c r="AM2" i="15" a="1"/>
  <c r="AM2" i="15" s="1"/>
  <c r="AN2" i="15" a="1"/>
  <c r="AN2" i="15" s="1"/>
  <c r="AO2" i="15" a="1"/>
  <c r="AO2" i="15" s="1"/>
  <c r="AP2" i="15" a="1"/>
  <c r="AP2" i="15" s="1"/>
  <c r="AQ2" i="15" a="1"/>
  <c r="AQ2" i="15" s="1"/>
  <c r="AR2" i="15" a="1"/>
  <c r="AR2" i="15" s="1"/>
  <c r="AS2" i="15" a="1"/>
  <c r="AS2" i="15" s="1"/>
  <c r="AT2" i="15" a="1"/>
  <c r="AT2" i="15" s="1"/>
  <c r="AU2" i="15" a="1"/>
  <c r="AU2" i="15" s="1"/>
  <c r="AV2" i="15" a="1"/>
  <c r="AV2" i="15" s="1"/>
  <c r="AW2" i="15" a="1"/>
  <c r="AW2" i="15" s="1"/>
  <c r="AY2" i="15" a="1"/>
  <c r="AY2" i="15" s="1"/>
  <c r="AZ2" i="15" a="1"/>
  <c r="AZ2" i="15" s="1"/>
  <c r="B2" i="15" a="1"/>
  <c r="B2" i="15" s="1"/>
  <c r="K10" i="12"/>
  <c r="I10" i="12"/>
  <c r="R8" i="12"/>
  <c r="R9" i="12"/>
  <c r="R10" i="12"/>
  <c r="R7" i="12"/>
  <c r="R5" i="12"/>
  <c r="R6" i="12"/>
  <c r="R11" i="12"/>
  <c r="R12" i="12"/>
  <c r="R13" i="12"/>
  <c r="R14" i="12"/>
  <c r="R15" i="12"/>
  <c r="R16" i="12"/>
  <c r="D3" i="22" l="1" a="1"/>
  <c r="D3" i="22" s="1"/>
  <c r="E3" i="12" a="1"/>
  <c r="E3" i="12" s="1"/>
  <c r="F3" i="12" a="1"/>
  <c r="F3" i="12" s="1"/>
  <c r="G3" i="12" a="1"/>
  <c r="G3" i="12" s="1"/>
  <c r="H3" i="12" a="1"/>
  <c r="H3" i="12" s="1"/>
  <c r="J3" i="12" a="1"/>
  <c r="J3" i="12" s="1"/>
  <c r="L3" i="12" a="1"/>
  <c r="L3" i="12" s="1"/>
  <c r="O3" i="12" a="1"/>
  <c r="O3" i="12" s="1"/>
  <c r="P3" i="12" a="1"/>
  <c r="P3" i="12" s="1"/>
  <c r="Q3" i="12" a="1"/>
  <c r="Q3" i="12" s="1"/>
  <c r="R3" i="12" a="1"/>
  <c r="R3" i="12" s="1"/>
  <c r="B3" i="12" a="1"/>
  <c r="B3" i="12" s="1"/>
  <c r="M5" i="12"/>
  <c r="M6" i="12"/>
  <c r="M7" i="12"/>
  <c r="M8" i="12"/>
  <c r="M9" i="12"/>
  <c r="M10" i="12"/>
  <c r="M11" i="12"/>
  <c r="M12" i="12"/>
  <c r="M13" i="12"/>
  <c r="M14" i="12"/>
  <c r="M15" i="12"/>
  <c r="M16" i="12"/>
  <c r="K5" i="12"/>
  <c r="K6" i="12"/>
  <c r="K7" i="12"/>
  <c r="K8" i="12"/>
  <c r="K9" i="12"/>
  <c r="K11" i="12"/>
  <c r="K12" i="12"/>
  <c r="K13" i="12"/>
  <c r="K14" i="12"/>
  <c r="K15" i="12"/>
  <c r="K16" i="12"/>
  <c r="I5" i="12"/>
  <c r="I6" i="12"/>
  <c r="I7" i="12"/>
  <c r="I8" i="12"/>
  <c r="I9" i="12"/>
  <c r="I11" i="12"/>
  <c r="I12" i="12"/>
  <c r="I13" i="12"/>
  <c r="I14" i="12"/>
  <c r="I15" i="12"/>
  <c r="I16" i="12"/>
  <c r="W16" i="15" l="1"/>
  <c r="W14" i="15"/>
  <c r="BA14" i="15" s="1"/>
  <c r="W15" i="15"/>
  <c r="W13" i="15"/>
  <c r="W12" i="15"/>
  <c r="W11" i="15"/>
  <c r="W10" i="15"/>
  <c r="W9" i="15"/>
  <c r="W8" i="15"/>
  <c r="W7" i="15"/>
  <c r="W6" i="15"/>
  <c r="W5" i="15"/>
  <c r="F2" i="15" a="1"/>
  <c r="F2" i="15" s="1"/>
  <c r="S8" i="12"/>
  <c r="S12" i="12"/>
  <c r="S11" i="12"/>
  <c r="K3" i="12" a="1"/>
  <c r="K3" i="12" s="1"/>
  <c r="S7" i="12"/>
  <c r="I3" i="12" a="1"/>
  <c r="I3" i="12" s="1"/>
  <c r="S6" i="12"/>
  <c r="S16" i="12"/>
  <c r="S5" i="12"/>
  <c r="S14" i="12"/>
  <c r="S13" i="12"/>
  <c r="S10" i="12"/>
  <c r="S9" i="12"/>
  <c r="M3" i="12" a="1"/>
  <c r="M3" i="12" s="1"/>
  <c r="BA15" i="15"/>
  <c r="BA16" i="15"/>
  <c r="BA10" i="15" l="1"/>
  <c r="BA6" i="15"/>
  <c r="BA11" i="15"/>
  <c r="BA8" i="15"/>
  <c r="BA7" i="15"/>
  <c r="W2" i="15" a="1"/>
  <c r="W2" i="15" s="1"/>
  <c r="BA12" i="15"/>
  <c r="BA13" i="15"/>
  <c r="BA5" i="15"/>
  <c r="BA9" i="15"/>
  <c r="S3" i="12" a="1"/>
  <c r="S3" i="12" s="1"/>
  <c r="K7" i="14" l="1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G27" i="1" l="1"/>
  <c r="G28" i="1"/>
  <c r="T27" i="1"/>
  <c r="V27" i="1"/>
  <c r="V28" i="1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V5" i="1" l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F29" i="1"/>
  <c r="C3" i="1"/>
  <c r="D3" i="1"/>
  <c r="G3" i="1"/>
  <c r="H3" i="1"/>
  <c r="J3" i="1"/>
  <c r="K3" i="1"/>
  <c r="L3" i="1"/>
  <c r="M3" i="1"/>
  <c r="N3" i="1"/>
  <c r="O3" i="1"/>
  <c r="Q3" i="1"/>
  <c r="V3" i="1"/>
  <c r="B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F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Degia Parlopa Pasaribu</author>
  </authors>
  <commentList>
    <comment ref="D4" authorId="0" shapeId="0" xr:uid="{560AB2E9-4209-44CC-836F-48D989B38EF9}">
      <text>
        <r>
          <rPr>
            <b/>
            <sz val="9"/>
            <color indexed="81"/>
            <rFont val="Tahoma"/>
            <family val="2"/>
          </rPr>
          <t>Degia Parlopa Pasaribu:</t>
        </r>
        <r>
          <rPr>
            <sz val="9"/>
            <color indexed="81"/>
            <rFont val="Tahoma"/>
            <family val="2"/>
          </rPr>
          <t xml:space="preserve">
CARA CHECK VIA Windows Powershell
CopyPaste :
(Get-WmiObject Win32_BIOS).SerialNumber
OR
Get-WmiObject -Class Win32_BIOS | Select-Object SerialNumber</t>
        </r>
      </text>
    </comment>
    <comment ref="V4" authorId="0" shapeId="0" xr:uid="{C4F87730-B083-4A66-B6E2-A908B19F5A33}">
      <text>
        <r>
          <rPr>
            <b/>
            <sz val="9"/>
            <color indexed="81"/>
            <rFont val="Tahoma"/>
            <family val="2"/>
          </rPr>
          <t>Degia Parlopa Pasaribu:</t>
        </r>
        <r>
          <rPr>
            <sz val="9"/>
            <color indexed="81"/>
            <rFont val="Tahoma"/>
            <family val="2"/>
          </rPr>
          <t xml:space="preserve">
CARA CHECK VIA </t>
        </r>
        <r>
          <rPr>
            <i/>
            <sz val="9"/>
            <color indexed="81"/>
            <rFont val="Tahoma"/>
            <family val="2"/>
          </rPr>
          <t>Windows Powershell.</t>
        </r>
        <r>
          <rPr>
            <sz val="9"/>
            <color indexed="81"/>
            <rFont val="Tahoma"/>
            <family val="2"/>
          </rPr>
          <t xml:space="preserve">
CopyPaste :
$service = Get-WmiObject -Query 'SELECT * FROM SoftwareLicensingService'
$service | Select-Object -ExpandProperty OA3xOriginalProductKey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Degia Parlopa Pasaribu</author>
  </authors>
  <commentList>
    <comment ref="B7" authorId="0" shapeId="0" xr:uid="{252A4586-4FF1-4D35-9378-83BD2041877C}">
      <text>
        <r>
          <rPr>
            <b/>
            <sz val="9"/>
            <color indexed="81"/>
            <rFont val="Tahoma"/>
            <family val="2"/>
          </rPr>
          <t>Degia Parlopa Pasaribu:</t>
        </r>
        <r>
          <rPr>
            <sz val="9"/>
            <color indexed="81"/>
            <rFont val="Tahoma"/>
            <family val="2"/>
          </rPr>
          <t xml:space="preserve">
CARA CHECK VIA Windows Powershell
CopyPaste :
(Get-WmiObject Win32_BIOS).SerialNumber
OR
Get-WmiObject -Class Win32_BIOS | Select-Object SerialNumber</t>
        </r>
      </text>
    </comment>
    <comment ref="B25" authorId="0" shapeId="0" xr:uid="{130F4A50-9809-405A-90E6-7A893889AA8A}">
      <text>
        <r>
          <rPr>
            <b/>
            <sz val="9"/>
            <color indexed="81"/>
            <rFont val="Tahoma"/>
            <family val="2"/>
          </rPr>
          <t>Degia Parlopa Pasaribu:</t>
        </r>
        <r>
          <rPr>
            <sz val="9"/>
            <color indexed="81"/>
            <rFont val="Tahoma"/>
            <family val="2"/>
          </rPr>
          <t xml:space="preserve">
CARA CHECK VIA </t>
        </r>
        <r>
          <rPr>
            <i/>
            <sz val="9"/>
            <color indexed="81"/>
            <rFont val="Tahoma"/>
            <family val="2"/>
          </rPr>
          <t>Windows Powershell.</t>
        </r>
        <r>
          <rPr>
            <sz val="9"/>
            <color indexed="81"/>
            <rFont val="Tahoma"/>
            <family val="2"/>
          </rPr>
          <t xml:space="preserve">
CopyPaste :
$service = Get-WmiObject -Query 'SELECT * FROM SoftwareLicensingService'
$service | Select-Object -ExpandProperty OA3xOriginalProductKey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Degia Parlopa</author>
  </authors>
  <commentList>
    <comment ref="M6" authorId="0" shapeId="0" xr:uid="{83E8EAD5-86FE-4BC7-98AD-F6A0613A4E9F}">
      <text>
        <r>
          <rPr>
            <b/>
            <sz val="9"/>
            <color indexed="81"/>
            <rFont val="Tahoma"/>
            <family val="2"/>
          </rPr>
          <t>Degia Parlopa:</t>
        </r>
        <r>
          <rPr>
            <sz val="9"/>
            <color indexed="81"/>
            <rFont val="Tahoma"/>
            <family val="2"/>
          </rPr>
          <t xml:space="preserve">
SIGN SPV</t>
        </r>
      </text>
    </comment>
    <comment ref="N6" authorId="0" shapeId="0" xr:uid="{17807552-BE6A-4F64-B90D-0EF02B1A461D}">
      <text>
        <r>
          <rPr>
            <b/>
            <sz val="9"/>
            <color indexed="81"/>
            <rFont val="Tahoma"/>
            <family val="2"/>
          </rPr>
          <t>Degia Parlopa:</t>
        </r>
        <r>
          <rPr>
            <sz val="9"/>
            <color indexed="81"/>
            <rFont val="Tahoma"/>
            <family val="2"/>
          </rPr>
          <t xml:space="preserve">
SIGN MANAGER</t>
        </r>
      </text>
    </comment>
    <comment ref="O6" authorId="0" shapeId="0" xr:uid="{449BD834-E6D3-4C19-A65A-21749787CC03}">
      <text>
        <r>
          <rPr>
            <b/>
            <sz val="9"/>
            <color indexed="81"/>
            <rFont val="Tahoma"/>
            <family val="2"/>
          </rPr>
          <t>Degia Parlopa:</t>
        </r>
        <r>
          <rPr>
            <sz val="9"/>
            <color indexed="81"/>
            <rFont val="Tahoma"/>
            <family val="2"/>
          </rPr>
          <t xml:space="preserve">
SIGN GM</t>
        </r>
      </text>
    </comment>
    <comment ref="I11" authorId="0" shapeId="0" xr:uid="{0AFF09BC-54AB-4991-B6F2-ECFEF6640BD0}">
      <text>
        <r>
          <rPr>
            <b/>
            <sz val="9"/>
            <color indexed="81"/>
            <rFont val="Tahoma"/>
            <family val="2"/>
          </rPr>
          <t>Degia Parlopa:</t>
        </r>
        <r>
          <rPr>
            <sz val="9"/>
            <color indexed="81"/>
            <rFont val="Tahoma"/>
            <family val="2"/>
          </rPr>
          <t xml:space="preserve">
ACTUALS 1 UNIT.
ON BOQ 2 UNIT, 1 CANCELLED. [iPhone]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<sst xmlns="http://schemas.openxmlformats.org/spreadsheetml/2006/main" count="2883" uniqueCount="1266">
  <si>
    <t>Assistant Manager</t>
  </si>
  <si>
    <t>Deputy General Manager</t>
  </si>
  <si>
    <t>Director</t>
  </si>
  <si>
    <t>General Manager</t>
  </si>
  <si>
    <t>Manager</t>
  </si>
  <si>
    <t>Senior Manager</t>
  </si>
  <si>
    <t>Senior Staff</t>
  </si>
  <si>
    <t>Senior Supervisor</t>
  </si>
  <si>
    <t>Staff</t>
  </si>
  <si>
    <t>Supervisor</t>
  </si>
  <si>
    <t>VACANT</t>
  </si>
  <si>
    <t>Chief Executive Officer</t>
  </si>
  <si>
    <t>Chief Financial Officer</t>
  </si>
  <si>
    <t>Chief Operating Officer</t>
  </si>
  <si>
    <t>Chief Technology Officer</t>
  </si>
  <si>
    <t>Chief Information Officer</t>
  </si>
  <si>
    <t>Chief Marketing Officer</t>
  </si>
  <si>
    <t>Chief Human Resources Officer</t>
  </si>
  <si>
    <t>Chief Compliance Officer</t>
  </si>
  <si>
    <t>Chief Data Officer</t>
  </si>
  <si>
    <t>Chief Analytics Officer</t>
  </si>
  <si>
    <t>Chief Product Officer</t>
  </si>
  <si>
    <t>Level C-Suite</t>
  </si>
  <si>
    <t>Board of Directors</t>
  </si>
  <si>
    <t>Chairman</t>
  </si>
  <si>
    <t>Komisaris Utama</t>
  </si>
  <si>
    <t>Komisaris Independen</t>
  </si>
  <si>
    <t>Direktur</t>
  </si>
  <si>
    <t>Senior Vice President</t>
  </si>
  <si>
    <t>Executive Vice President</t>
  </si>
  <si>
    <t>Vice President</t>
  </si>
  <si>
    <t>Associate Vice President</t>
  </si>
  <si>
    <t>Head of Department</t>
  </si>
  <si>
    <t>Deputy Manager</t>
  </si>
  <si>
    <t>Team Leader</t>
  </si>
  <si>
    <t>Coordinator</t>
  </si>
  <si>
    <t>Foreman</t>
  </si>
  <si>
    <t>Officer</t>
  </si>
  <si>
    <t>Associate</t>
  </si>
  <si>
    <t>Analyst</t>
  </si>
  <si>
    <t>Junior Staff</t>
  </si>
  <si>
    <t>Intern</t>
  </si>
  <si>
    <t>Management Trainee</t>
  </si>
  <si>
    <t>Fresh Graduate</t>
  </si>
  <si>
    <t>L0.01</t>
  </si>
  <si>
    <t>L0.02</t>
  </si>
  <si>
    <t>L0.03</t>
  </si>
  <si>
    <t>L0.04</t>
  </si>
  <si>
    <t>L0.05</t>
  </si>
  <si>
    <t>L0.06</t>
  </si>
  <si>
    <t>L0.07</t>
  </si>
  <si>
    <t>L0.08</t>
  </si>
  <si>
    <t>L0.09</t>
  </si>
  <si>
    <t>L0.10</t>
  </si>
  <si>
    <t>L0.11</t>
  </si>
  <si>
    <t>L0.12</t>
  </si>
  <si>
    <t>L1.13</t>
  </si>
  <si>
    <t>L1.14</t>
  </si>
  <si>
    <t>L1.15</t>
  </si>
  <si>
    <t>L1.16</t>
  </si>
  <si>
    <t>L2.17</t>
  </si>
  <si>
    <t>L2.18</t>
  </si>
  <si>
    <t>L2.19</t>
  </si>
  <si>
    <t>L2.20</t>
  </si>
  <si>
    <t>L3.21</t>
  </si>
  <si>
    <t>L3.22</t>
  </si>
  <si>
    <t>L3.23</t>
  </si>
  <si>
    <t>L3.24</t>
  </si>
  <si>
    <t>L4.25</t>
  </si>
  <si>
    <t>L4.26</t>
  </si>
  <si>
    <t>L4.27</t>
  </si>
  <si>
    <t>L4.28</t>
  </si>
  <si>
    <t>L5.29</t>
  </si>
  <si>
    <t>L5.30</t>
  </si>
  <si>
    <t>L5.31</t>
  </si>
  <si>
    <t>L5.32</t>
  </si>
  <si>
    <t>L5.33</t>
  </si>
  <si>
    <t>L6.34</t>
  </si>
  <si>
    <t>L6.35</t>
  </si>
  <si>
    <t>L6.36</t>
  </si>
  <si>
    <t>L6.37</t>
  </si>
  <si>
    <t>L6.38</t>
  </si>
  <si>
    <t>L6.39</t>
  </si>
  <si>
    <t>L7.40</t>
  </si>
  <si>
    <t>L7.41</t>
  </si>
  <si>
    <t>L7.42</t>
  </si>
  <si>
    <t>Team Control</t>
  </si>
  <si>
    <t>Team Lead</t>
  </si>
  <si>
    <t>Implementer</t>
  </si>
  <si>
    <t>Beginner</t>
  </si>
  <si>
    <t>L0.00</t>
  </si>
  <si>
    <t>Unknown</t>
  </si>
  <si>
    <t>Direktur Finance Accounting</t>
  </si>
  <si>
    <t>Direktur Human Capital</t>
  </si>
  <si>
    <t>Direktur Engineering</t>
  </si>
  <si>
    <t>DIR0.00</t>
  </si>
  <si>
    <t>DIR0.01</t>
  </si>
  <si>
    <t>DIR0.02</t>
  </si>
  <si>
    <t>DIR0.03</t>
  </si>
  <si>
    <t>DIR0.04</t>
  </si>
  <si>
    <t>DIR0.05</t>
  </si>
  <si>
    <t>DIR0.06</t>
  </si>
  <si>
    <t>DIR0.07</t>
  </si>
  <si>
    <t>DIR0.08</t>
  </si>
  <si>
    <t>DIR0.09</t>
  </si>
  <si>
    <t>DIR0.10</t>
  </si>
  <si>
    <t>DIR0.11</t>
  </si>
  <si>
    <t>DIR0.12</t>
  </si>
  <si>
    <t>DIR1.13</t>
  </si>
  <si>
    <t>DIR1.14</t>
  </si>
  <si>
    <t>DIR1.15</t>
  </si>
  <si>
    <t>DIR1.16</t>
  </si>
  <si>
    <t>DIR1.17</t>
  </si>
  <si>
    <t>DIR1.18</t>
  </si>
  <si>
    <t>Chief Leasing Officer</t>
  </si>
  <si>
    <t>Information Technology</t>
  </si>
  <si>
    <t>Finance &amp; Accounting</t>
  </si>
  <si>
    <t>ISO</t>
  </si>
  <si>
    <t>Operation</t>
  </si>
  <si>
    <t>Engineering</t>
  </si>
  <si>
    <t>Marketing &amp; Commercial</t>
  </si>
  <si>
    <t>Legal &amp; Government Relation</t>
  </si>
  <si>
    <t>Leasing</t>
  </si>
  <si>
    <t>Property Office Management</t>
  </si>
  <si>
    <t>DIV0.00</t>
  </si>
  <si>
    <t>DIV0.01</t>
  </si>
  <si>
    <t>DIV0.02</t>
  </si>
  <si>
    <t>DIV0.03</t>
  </si>
  <si>
    <t>DIV0.04</t>
  </si>
  <si>
    <t>DIV0.05</t>
  </si>
  <si>
    <t>DIV0.06</t>
  </si>
  <si>
    <t>DIV0.07</t>
  </si>
  <si>
    <t>DIV0.08</t>
  </si>
  <si>
    <t>DIV0.09</t>
  </si>
  <si>
    <t>DIV0.10</t>
  </si>
  <si>
    <t>DIV0.11</t>
  </si>
  <si>
    <t>IT Network</t>
  </si>
  <si>
    <t>IT Server</t>
  </si>
  <si>
    <t>IT Project</t>
  </si>
  <si>
    <t>IT Operation</t>
  </si>
  <si>
    <t>IT Application</t>
  </si>
  <si>
    <t>IT Infrastructure</t>
  </si>
  <si>
    <t>IT Operation &amp; Project</t>
  </si>
  <si>
    <t>IT Complience</t>
  </si>
  <si>
    <t>IT Security &amp; Complience</t>
  </si>
  <si>
    <t>IT Cyber Security</t>
  </si>
  <si>
    <t>Corporate consolidation, Reporting &amp; Analisis</t>
  </si>
  <si>
    <t>Procurement</t>
  </si>
  <si>
    <t>Research &amp; Development</t>
  </si>
  <si>
    <t>Purchasing</t>
  </si>
  <si>
    <t>Corporate Finance</t>
  </si>
  <si>
    <t>Reporting</t>
  </si>
  <si>
    <t>Collection</t>
  </si>
  <si>
    <t>Tax</t>
  </si>
  <si>
    <t>Accounting</t>
  </si>
  <si>
    <t>Asset Management &amp; Controller</t>
  </si>
  <si>
    <t>Cashier</t>
  </si>
  <si>
    <t>Accounting &amp; Account Raceivable</t>
  </si>
  <si>
    <t>Account Raceivable</t>
  </si>
  <si>
    <t>Account Payable</t>
  </si>
  <si>
    <t>Account Payable &amp; Cashier</t>
  </si>
  <si>
    <t>Procurement &amp; Purchasing</t>
  </si>
  <si>
    <t>Human Resource &amp; Development</t>
  </si>
  <si>
    <t>Talent Acquisition</t>
  </si>
  <si>
    <t>Compensation &amp; Benefit</t>
  </si>
  <si>
    <t>Internal Audit &amp; Business Process</t>
  </si>
  <si>
    <t>People Development &amp; Career Management</t>
  </si>
  <si>
    <t>Employer Branding</t>
  </si>
  <si>
    <t>Warehouse</t>
  </si>
  <si>
    <t>Office Boy</t>
  </si>
  <si>
    <t>Messenger</t>
  </si>
  <si>
    <t>GA Operation</t>
  </si>
  <si>
    <t>Contract &amp; Payment Control</t>
  </si>
  <si>
    <t>Business Partner</t>
  </si>
  <si>
    <t>Storekeeper</t>
  </si>
  <si>
    <t>Housekeeping</t>
  </si>
  <si>
    <t>Parking</t>
  </si>
  <si>
    <t>Safety</t>
  </si>
  <si>
    <t>HSE</t>
  </si>
  <si>
    <t>GEA</t>
  </si>
  <si>
    <t>TR</t>
  </si>
  <si>
    <t>Landscape</t>
  </si>
  <si>
    <t>Security</t>
  </si>
  <si>
    <t>F &amp; B</t>
  </si>
  <si>
    <t>Sustainability</t>
  </si>
  <si>
    <t>Handling Compliant</t>
  </si>
  <si>
    <t>Operational Genset &amp; Control Room</t>
  </si>
  <si>
    <t>Operational CCTV</t>
  </si>
  <si>
    <t>SDP0.00</t>
  </si>
  <si>
    <t>SDP1.01</t>
  </si>
  <si>
    <t>SDP1.02</t>
  </si>
  <si>
    <t>SDP1.03</t>
  </si>
  <si>
    <t>SDP1.04</t>
  </si>
  <si>
    <t>SDP1.05</t>
  </si>
  <si>
    <t>SDP1.06</t>
  </si>
  <si>
    <t>SDP1.07</t>
  </si>
  <si>
    <t>SDP1.08</t>
  </si>
  <si>
    <t>SDP1.09</t>
  </si>
  <si>
    <t>SDP1.10</t>
  </si>
  <si>
    <t>SDP1.11</t>
  </si>
  <si>
    <t>SDP1.12</t>
  </si>
  <si>
    <t>SDP1.13</t>
  </si>
  <si>
    <t>SDP1.14</t>
  </si>
  <si>
    <t>SDP1.15</t>
  </si>
  <si>
    <t>SDP1.16</t>
  </si>
  <si>
    <t>SDP1.17</t>
  </si>
  <si>
    <t>SDP1.18</t>
  </si>
  <si>
    <t>SDP1.19</t>
  </si>
  <si>
    <t>SDP1.20</t>
  </si>
  <si>
    <t>SDP1.21</t>
  </si>
  <si>
    <t>SDP1.22</t>
  </si>
  <si>
    <t>SDP1.23</t>
  </si>
  <si>
    <t>SDP1.24</t>
  </si>
  <si>
    <t>SDP1.25</t>
  </si>
  <si>
    <t>SDP1.26</t>
  </si>
  <si>
    <t>SDP1.27</t>
  </si>
  <si>
    <t>SDP1.28</t>
  </si>
  <si>
    <t>SDP1.29</t>
  </si>
  <si>
    <t>Johnson Lopulisa</t>
  </si>
  <si>
    <t>Teddy Wijaya</t>
  </si>
  <si>
    <t>Ariya Jaya Urip Ramsi</t>
  </si>
  <si>
    <t>Wuwanjie Septian</t>
  </si>
  <si>
    <t>Romi Fusianto</t>
  </si>
  <si>
    <t>Wilson</t>
  </si>
  <si>
    <t>Candra Segren</t>
  </si>
  <si>
    <t>Teguh Putra Sofyanto</t>
  </si>
  <si>
    <t>Achmad Fika Muntafa</t>
  </si>
  <si>
    <t>Albin Patu Putra Wangsa</t>
  </si>
  <si>
    <t>Aditya Gustiyana</t>
  </si>
  <si>
    <t>Hardi Wasisto</t>
  </si>
  <si>
    <t>Aldo Jeffry F Wowor</t>
  </si>
  <si>
    <t>Johari.</t>
  </si>
  <si>
    <t>Degia Parlopa</t>
  </si>
  <si>
    <t>Fransiskus Simson</t>
  </si>
  <si>
    <t>Hendry Prasetyo</t>
  </si>
  <si>
    <t>Irfan Suparman</t>
  </si>
  <si>
    <t>Patrick Lay</t>
  </si>
  <si>
    <t>Toyyib Abdillah</t>
  </si>
  <si>
    <t>Moh. Gagas Sanda Ramadhan</t>
  </si>
  <si>
    <t>Sarah Sajaratun Durry</t>
  </si>
  <si>
    <t>DPT0.00</t>
  </si>
  <si>
    <t>DPT0.01</t>
  </si>
  <si>
    <t>DPT0.02</t>
  </si>
  <si>
    <t>DPT0.03</t>
  </si>
  <si>
    <t>DPT0.04</t>
  </si>
  <si>
    <t>DPT0.05</t>
  </si>
  <si>
    <t>DPT0.06</t>
  </si>
  <si>
    <t>DPT0.07</t>
  </si>
  <si>
    <t>DPT0.08</t>
  </si>
  <si>
    <t>DPT0.09</t>
  </si>
  <si>
    <t>DPT0.10</t>
  </si>
  <si>
    <t>DPT0.11</t>
  </si>
  <si>
    <t>EMPTY</t>
  </si>
  <si>
    <t>MAS</t>
  </si>
  <si>
    <t>M02</t>
  </si>
  <si>
    <t>O99</t>
  </si>
  <si>
    <t>M03</t>
  </si>
  <si>
    <t>MJS</t>
  </si>
  <si>
    <t>Null</t>
  </si>
  <si>
    <t>Admin</t>
  </si>
  <si>
    <t>SDP0.01</t>
  </si>
  <si>
    <t>QUERY</t>
  </si>
  <si>
    <t>degia.parlopa@asri.co.id</t>
  </si>
  <si>
    <t>ariya.ramsi@asri.co.id</t>
  </si>
  <si>
    <t>albin.wangsa@asri.co.id</t>
  </si>
  <si>
    <t>aldo.wowor@asri.co.id</t>
  </si>
  <si>
    <t>fransiskus.simson@asri.co.id</t>
  </si>
  <si>
    <t>hardi.wasisto@asri.co.id</t>
  </si>
  <si>
    <t>irfan.suparman@asri.co.id</t>
  </si>
  <si>
    <t>moh.ramadhan@asri.co.id</t>
  </si>
  <si>
    <t>johari.johari@asri.co.id</t>
  </si>
  <si>
    <t>candra.segren@asri.co.id</t>
  </si>
  <si>
    <t>patrick.lay@asri.co.id</t>
  </si>
  <si>
    <t>sarah.durry@asri.co.id</t>
  </si>
  <si>
    <t>thoyyib.abdillah@asri.co.id</t>
  </si>
  <si>
    <t>johnson.lopulisa@asri.co.id</t>
  </si>
  <si>
    <t>wilson.wilson@asri.co.id</t>
  </si>
  <si>
    <t>wuwanjie.septian@asri.co.id</t>
  </si>
  <si>
    <t>PIC</t>
  </si>
  <si>
    <t>PIC_NIP</t>
  </si>
  <si>
    <t>-</t>
  </si>
  <si>
    <t>USER</t>
  </si>
  <si>
    <t>NULL</t>
  </si>
  <si>
    <t>TYPE</t>
  </si>
  <si>
    <t>STANDARD</t>
  </si>
  <si>
    <t>johnson.lopulisa</t>
  </si>
  <si>
    <t>ariya.ramsi</t>
  </si>
  <si>
    <t>wuwanjie.septian</t>
  </si>
  <si>
    <t>wilson.wilson</t>
  </si>
  <si>
    <t>candra.segren</t>
  </si>
  <si>
    <t>albin.wangsa</t>
  </si>
  <si>
    <t>hardi.wasisto</t>
  </si>
  <si>
    <t>aldo.wowor</t>
  </si>
  <si>
    <t>johari.johari</t>
  </si>
  <si>
    <t>degia.parlopa</t>
  </si>
  <si>
    <t>fransiskus.simson</t>
  </si>
  <si>
    <t>irfan.suparman</t>
  </si>
  <si>
    <t>patrick.lay</t>
  </si>
  <si>
    <t>thoyyib.abdillah</t>
  </si>
  <si>
    <t>moh.ramadhan</t>
  </si>
  <si>
    <t>sarah.durry</t>
  </si>
  <si>
    <t>ACTIVED</t>
  </si>
  <si>
    <t>DEACTIVED</t>
  </si>
  <si>
    <t>administrator</t>
  </si>
  <si>
    <t>6d6a7369746d6f69</t>
  </si>
  <si>
    <t>Microsoft Office 365</t>
  </si>
  <si>
    <t>admin@asri.co.id</t>
  </si>
  <si>
    <t>+628111800634</t>
  </si>
  <si>
    <t>+62</t>
  </si>
  <si>
    <t>+6281328682033</t>
  </si>
  <si>
    <t>+6285759988933</t>
  </si>
  <si>
    <t>+6281212267237</t>
  </si>
  <si>
    <t>+6281319051488</t>
  </si>
  <si>
    <t>+6281952520528</t>
  </si>
  <si>
    <t>+6285718769329</t>
  </si>
  <si>
    <t>+6281221728811</t>
  </si>
  <si>
    <t>+628187330021</t>
  </si>
  <si>
    <t>+6281282310886</t>
  </si>
  <si>
    <t>+6281391232461</t>
  </si>
  <si>
    <t>+628956064717</t>
  </si>
  <si>
    <t>+62895414734288</t>
  </si>
  <si>
    <t>+62895703307900</t>
  </si>
  <si>
    <t>+6285700669244</t>
  </si>
  <si>
    <t>+6281214808053</t>
  </si>
  <si>
    <t>nomail</t>
  </si>
  <si>
    <t>Vacant</t>
  </si>
  <si>
    <t>XXX</t>
  </si>
  <si>
    <t>VAC</t>
  </si>
  <si>
    <t>A01</t>
  </si>
  <si>
    <t>Taman Anggrek Residence</t>
  </si>
  <si>
    <t>Apartement</t>
  </si>
  <si>
    <t>Indonesia</t>
  </si>
  <si>
    <t>Jakarta</t>
  </si>
  <si>
    <t>Jakarta Barat</t>
  </si>
  <si>
    <t>Jl. Tj. Duren Timur 2 No.12, RT.12/RW.1, Tj. Duren Sel., Kec. Grogol petamburan, Kota Jakarta Barat, Daerah Khusus Ibukota Jakarta 11470</t>
  </si>
  <si>
    <t>https://maps.app.goo.gl/RczWGcAEpFTuXA6G7</t>
  </si>
  <si>
    <t>A02</t>
  </si>
  <si>
    <t>Fatmawati City Center</t>
  </si>
  <si>
    <t>Jakarta Selatan</t>
  </si>
  <si>
    <t>Jl. Fatmawati Raya, RT.3/RW.9, Cilandak Bar., Kec. Cilandak, Kota Jakarta Selatan, Daerah Khusus Ibukota Jakarta 12430</t>
  </si>
  <si>
    <t>https://maps.app.goo.gl/cZ7XNNiT6Kxgmu7f7</t>
  </si>
  <si>
    <t>A03</t>
  </si>
  <si>
    <t>Menara Jakarta</t>
  </si>
  <si>
    <t>Jakarta Utara</t>
  </si>
  <si>
    <t>Arena Pekan Raya Jkt - Kemayoran, Jl. H. Benyamin Sueb No.10, RW.10, Gn. Sahari Sel., Kec. Kemayoran, Jkt Utara, Daerah Khusus Ibukota Jakarta 14410</t>
  </si>
  <si>
    <t>https://maps.app.goo.gl/nmdtJgPT3FR2HnWU6</t>
  </si>
  <si>
    <t>A04</t>
  </si>
  <si>
    <t>French Walk</t>
  </si>
  <si>
    <t>Kelapa Gading Barat, Kelapa Gading, RT.18/RW.8, RT.18/RW.8, Klp. Gading Bar., Jakarta Utara, Jkt Utara, Daerah Khusus Ibukota Jakarta 14240</t>
  </si>
  <si>
    <t>https://maps.app.goo.gl/pbEgWFSERS9ka2n28</t>
  </si>
  <si>
    <t>F01</t>
  </si>
  <si>
    <t>FLIX PIK</t>
  </si>
  <si>
    <t>Cinema</t>
  </si>
  <si>
    <t>Pantai Indah Kapuk St Boulevard, RT.6/RW.2, Kamal Muara, Penjaringan, North Jakarta City, Jakarta 14470</t>
  </si>
  <si>
    <t>https://maps.app.goo.gl/y1gkFm9bwuNjVQe2A</t>
  </si>
  <si>
    <t>F02</t>
  </si>
  <si>
    <t>FLIX MOI</t>
  </si>
  <si>
    <t>Jl. Boulevard Bar. Raya No.12, RT.18/RW.19, Klp. Gading Bar., Kec. Klp. Gading, Jkt Utara, Daerah Khusus Ibukota Jakarta 14240</t>
  </si>
  <si>
    <t>https://maps.app.goo.gl/CDafTWd9qFpdTmW67</t>
  </si>
  <si>
    <t>F03</t>
  </si>
  <si>
    <t>FLIX GGP</t>
  </si>
  <si>
    <t>Bekasi Selatan</t>
  </si>
  <si>
    <t>Jl. Boulevard Raya No.1, RT.003/RW.017, Jaka Setia, Kec. Bekasi Sel., Kota Bks, Jawa Barat 17147</t>
  </si>
  <si>
    <t>https://maps.app.goo.gl/8VVfF28Grsr9G2mU8</t>
  </si>
  <si>
    <t>F04</t>
  </si>
  <si>
    <t>FLIX ASHTA</t>
  </si>
  <si>
    <t>Jl. Senopati No.83, Senayan, Kec. Kby. Baru, Kota Jakarta Selatan, Daerah Khusus Ibukota Jakarta 12190</t>
  </si>
  <si>
    <t>https://maps.app.goo.gl/JJhw2MQg4rf476B59</t>
  </si>
  <si>
    <t>F99</t>
  </si>
  <si>
    <t>FLIX SHQ</t>
  </si>
  <si>
    <t>H01</t>
  </si>
  <si>
    <t>Swiss Hotel</t>
  </si>
  <si>
    <t>Hotel</t>
  </si>
  <si>
    <t>H02</t>
  </si>
  <si>
    <t>Mercure</t>
  </si>
  <si>
    <t>H03</t>
  </si>
  <si>
    <t>Lengham</t>
  </si>
  <si>
    <t>Jalan Senopati Raya No.8B, RT.5/RW.3, Senayan, Kec. Kby. Baru, Kota Jakarta Selatan, Daerah Khusus Ibukota Jakarta 12190</t>
  </si>
  <si>
    <t>https://maps.app.goo.gl/RNChXHeZVaHL4C5HA</t>
  </si>
  <si>
    <t>M01</t>
  </si>
  <si>
    <t>PIK Avenue</t>
  </si>
  <si>
    <t>Mall</t>
  </si>
  <si>
    <t>MOI</t>
  </si>
  <si>
    <t>GGP</t>
  </si>
  <si>
    <t>Jawa Barat</t>
  </si>
  <si>
    <t>M04</t>
  </si>
  <si>
    <t>ASHTA</t>
  </si>
  <si>
    <t>M05</t>
  </si>
  <si>
    <t>Hublife</t>
  </si>
  <si>
    <t>Jl. Tanjung Duren Timur No.2, RW.5, Tj. Duren Sel., Kec. Grogol petamburan, Kota Jakarta Barat, Daerah Khusus Ibukota Jakarta 11470</t>
  </si>
  <si>
    <t>https://maps.app.goo.gl/xFdujp585bfoE3qn6</t>
  </si>
  <si>
    <t>M06</t>
  </si>
  <si>
    <t>ASG Tower</t>
  </si>
  <si>
    <t>Ofiice</t>
  </si>
  <si>
    <t>ASG Tower, Jl. Pantai Indah Kapuk No.2, RT.6/RW.2, Kamal Muara, Kec. Penjaringan, Jkt Utara, Daerah Khusus Ibukota Jakarta 14470</t>
  </si>
  <si>
    <t>https://maps.app.goo.gl/rTbagH72jdi6VfLk9</t>
  </si>
  <si>
    <t>OD8</t>
  </si>
  <si>
    <t>District 8</t>
  </si>
  <si>
    <t>No SITE</t>
  </si>
  <si>
    <t>No Placement</t>
  </si>
  <si>
    <t>No Country</t>
  </si>
  <si>
    <t>No Provincy</t>
  </si>
  <si>
    <t>No City</t>
  </si>
  <si>
    <t>No Address</t>
  </si>
  <si>
    <t>K-Mall</t>
  </si>
  <si>
    <t>ID_ASSET</t>
  </si>
  <si>
    <t>HOSTNAME</t>
  </si>
  <si>
    <t>SN</t>
  </si>
  <si>
    <t>BARCODE</t>
  </si>
  <si>
    <t>BRAND</t>
  </si>
  <si>
    <t>PROCESSORS</t>
  </si>
  <si>
    <t>GEN</t>
  </si>
  <si>
    <t>OS_TYPE</t>
  </si>
  <si>
    <t>DISK2_TYPE</t>
  </si>
  <si>
    <t>DISK2_CAP</t>
  </si>
  <si>
    <t>DISK1_TYPE</t>
  </si>
  <si>
    <t>DISK1_CAP</t>
  </si>
  <si>
    <t>RAM_TYPE</t>
  </si>
  <si>
    <t>RAM_SLOT</t>
  </si>
  <si>
    <t>RAM_CAP</t>
  </si>
  <si>
    <t>CATEGORY</t>
  </si>
  <si>
    <t>O99-ITD-NB017</t>
  </si>
  <si>
    <t>GC8JX14</t>
  </si>
  <si>
    <t>MASHQEQP2400014</t>
  </si>
  <si>
    <t>LAPTOP</t>
  </si>
  <si>
    <t>DELL</t>
  </si>
  <si>
    <t>Latitude 5440</t>
  </si>
  <si>
    <t>i7-1365U</t>
  </si>
  <si>
    <t>1 of 2</t>
  </si>
  <si>
    <t>DDR4, SO-DIMM, 3200Mhz</t>
  </si>
  <si>
    <t>PRODUCT_ID</t>
  </si>
  <si>
    <t>PRODUCT_KEY</t>
  </si>
  <si>
    <t>OS</t>
  </si>
  <si>
    <t>in GB</t>
  </si>
  <si>
    <t>NA</t>
  </si>
  <si>
    <t>Windows</t>
  </si>
  <si>
    <t>Windows 11 Pro</t>
  </si>
  <si>
    <t>00356-24531-33852-AAOEM</t>
  </si>
  <si>
    <t>OS_VER</t>
  </si>
  <si>
    <t>24H2</t>
  </si>
  <si>
    <t>DC</t>
  </si>
  <si>
    <t>FCC</t>
  </si>
  <si>
    <t>mWh</t>
  </si>
  <si>
    <t>BH</t>
  </si>
  <si>
    <t>CASING</t>
  </si>
  <si>
    <t>DISPLAY</t>
  </si>
  <si>
    <t>KEYBOARD</t>
  </si>
  <si>
    <t>TOUCHPAD</t>
  </si>
  <si>
    <t>PORT_USB</t>
  </si>
  <si>
    <t>PORT_JECK</t>
  </si>
  <si>
    <t>PORT_PSU</t>
  </si>
  <si>
    <t>FAN</t>
  </si>
  <si>
    <t>WEBCAM</t>
  </si>
  <si>
    <t>MICROFON</t>
  </si>
  <si>
    <t>SPEAKER</t>
  </si>
  <si>
    <t>WiFI, Ethernet</t>
  </si>
  <si>
    <t>Good</t>
  </si>
  <si>
    <t>PORT_DISPLAY</t>
  </si>
  <si>
    <t>HDMI [Good]</t>
  </si>
  <si>
    <t>CONDITION</t>
  </si>
  <si>
    <t>SUB_CON</t>
  </si>
  <si>
    <t>NOTE_CON</t>
  </si>
  <si>
    <t>SOLUTION</t>
  </si>
  <si>
    <t>NOTE_SOL</t>
  </si>
  <si>
    <t>NOTE_FUNC</t>
  </si>
  <si>
    <t>HISTORY_PIC</t>
  </si>
  <si>
    <t>LOCATION</t>
  </si>
  <si>
    <t>NOTE_LOC</t>
  </si>
  <si>
    <t>STATUS_FUNC</t>
  </si>
  <si>
    <t>ID_MAINTENANCE</t>
  </si>
  <si>
    <t>MASHQEQP2400063</t>
  </si>
  <si>
    <t>POP/ASR/1124/009</t>
  </si>
  <si>
    <t>PR/ASR/0424/003</t>
  </si>
  <si>
    <t>PR/ASR/0124/003</t>
  </si>
  <si>
    <t>MASHQEQP2400003</t>
  </si>
  <si>
    <t>POP/ASR/0124/013</t>
  </si>
  <si>
    <t>POP/ASR/0524/005</t>
  </si>
  <si>
    <t>MASHQEQP2400037</t>
  </si>
  <si>
    <t>MASHQEQP2400036</t>
  </si>
  <si>
    <t>MASHQEQP2400053</t>
  </si>
  <si>
    <t>MASHQEQP2400061</t>
  </si>
  <si>
    <t>MASHQEQP2400062</t>
  </si>
  <si>
    <t>MASHQEQP2400066</t>
  </si>
  <si>
    <t>JSBKWS2</t>
  </si>
  <si>
    <t>J8Q5HX3</t>
  </si>
  <si>
    <t>2CQ7FX3</t>
  </si>
  <si>
    <t>94BJM44</t>
  </si>
  <si>
    <t>74BJM44</t>
  </si>
  <si>
    <t>BB1JM44</t>
  </si>
  <si>
    <t>B76JM44</t>
  </si>
  <si>
    <t>CS9JM44</t>
  </si>
  <si>
    <t>15BJM44</t>
  </si>
  <si>
    <t>FC1JM44</t>
  </si>
  <si>
    <t>K7MSAC0001113SF</t>
  </si>
  <si>
    <t>POP/ASR/1123/006</t>
  </si>
  <si>
    <t>08/12/2023</t>
  </si>
  <si>
    <t>POP/ASR/1024/005</t>
  </si>
  <si>
    <t>POP/ASR/1124/001</t>
  </si>
  <si>
    <t>POP/ASR/1024/003</t>
  </si>
  <si>
    <t>22/02/2024</t>
  </si>
  <si>
    <t>03/06/2024</t>
  </si>
  <si>
    <t>28/10/2024</t>
  </si>
  <si>
    <t>21/11/2024</t>
  </si>
  <si>
    <t>02/12/2024</t>
  </si>
  <si>
    <t>09/12/2024</t>
  </si>
  <si>
    <t>O99-ITD-NB012</t>
  </si>
  <si>
    <t>O99-ITD-NB015</t>
  </si>
  <si>
    <t>O99-ITD-NB016</t>
  </si>
  <si>
    <t>O99-ITD-NB018</t>
  </si>
  <si>
    <t>O99-ITD-NB019</t>
  </si>
  <si>
    <t>O99-ITD-NB020</t>
  </si>
  <si>
    <t>O99-ITD-NB021</t>
  </si>
  <si>
    <t>O99-ITD-NB022</t>
  </si>
  <si>
    <t>O99-ITD-NB024</t>
  </si>
  <si>
    <t>O99-ITD-DT001</t>
  </si>
  <si>
    <t>Latitude 3490</t>
  </si>
  <si>
    <t>Latitude 3430</t>
  </si>
  <si>
    <t>Latitude 5540</t>
  </si>
  <si>
    <t>Latitude 3450</t>
  </si>
  <si>
    <t>Mini PC PN60-R</t>
  </si>
  <si>
    <t>i5-8250U</t>
  </si>
  <si>
    <t>i3-1215U</t>
  </si>
  <si>
    <t>i7-1370P</t>
  </si>
  <si>
    <t>i5-1345U</t>
  </si>
  <si>
    <t>HDD SATA 2.5"</t>
  </si>
  <si>
    <t>NORMAL</t>
  </si>
  <si>
    <t>GREAT</t>
  </si>
  <si>
    <t>POOR</t>
  </si>
  <si>
    <t>Hardware : Need to be Upgrade Performance</t>
  </si>
  <si>
    <t>Normal</t>
  </si>
  <si>
    <t>GOOD PERFORMANCE</t>
  </si>
  <si>
    <t>Upgrade RAM</t>
  </si>
  <si>
    <t>Tidak ada</t>
  </si>
  <si>
    <t>Ex Degia Parlopa</t>
  </si>
  <si>
    <t>Ex Aditya Gustiyana</t>
  </si>
  <si>
    <t>Meja IT LT.21 ASGT</t>
  </si>
  <si>
    <t>SYSTEM</t>
  </si>
  <si>
    <t>PC as Backups Email Users</t>
  </si>
  <si>
    <t>PR/ASR/1123/005</t>
  </si>
  <si>
    <t>00355-60997-88773-AAOEM</t>
  </si>
  <si>
    <t>2 of 2</t>
  </si>
  <si>
    <t>DDR5, SO-DIMM, 4800 / 5600 Mhz</t>
  </si>
  <si>
    <t>SSD M.2 Nvme/SK Hynix BC901</t>
  </si>
  <si>
    <t>Disk Type/BrandType</t>
  </si>
  <si>
    <t>SSD M.2 Nvme/WD PC SN740</t>
  </si>
  <si>
    <t>TBD</t>
  </si>
  <si>
    <t>PERSONAL</t>
  </si>
  <si>
    <t>MOBILE</t>
  </si>
  <si>
    <t>USER MOBILE</t>
  </si>
  <si>
    <t>00355-61745-26884-AAOEM</t>
  </si>
  <si>
    <t>DDR5, SO-DIMM, 5600 Mhz</t>
  </si>
  <si>
    <t>SSD M.2 Nvme/Micorn 2400A</t>
  </si>
  <si>
    <t>O99-ITD-NB099</t>
  </si>
  <si>
    <t>Y83MP-N97VD-98VFC-7YHQ4-844TG</t>
  </si>
  <si>
    <t>A[3/3]-C[1/1]</t>
  </si>
  <si>
    <t>MASHQEQP2300012</t>
  </si>
  <si>
    <t>DESKTOP</t>
  </si>
  <si>
    <t>Kandar Meidianto</t>
  </si>
  <si>
    <t>✓</t>
  </si>
  <si>
    <t>DPT0.12</t>
  </si>
  <si>
    <t>DPT0.13</t>
  </si>
  <si>
    <t>DPT0.14</t>
  </si>
  <si>
    <t>DPT0.15</t>
  </si>
  <si>
    <t>DPT0.16</t>
  </si>
  <si>
    <t>DPT0.17</t>
  </si>
  <si>
    <t>DPT0.18</t>
  </si>
  <si>
    <t>DPT0.19</t>
  </si>
  <si>
    <t>MALL</t>
  </si>
  <si>
    <t>MAP</t>
  </si>
  <si>
    <t>VARCHAR</t>
  </si>
  <si>
    <t>ME01</t>
  </si>
  <si>
    <t>ME00</t>
  </si>
  <si>
    <t>ME02</t>
  </si>
  <si>
    <t>ME03</t>
  </si>
  <si>
    <t>PREVENTIVE</t>
  </si>
  <si>
    <t>CORRECTIVE</t>
  </si>
  <si>
    <t>PREDICTIVE</t>
  </si>
  <si>
    <t>PERIODICALLY</t>
  </si>
  <si>
    <t>AFTER BEING DAMAGED</t>
  </si>
  <si>
    <t>BASED ON PREDICTIONS</t>
  </si>
  <si>
    <t>PROACTIVE</t>
  </si>
  <si>
    <t>REACTIVE</t>
  </si>
  <si>
    <t>SMART PROACTIVE</t>
  </si>
  <si>
    <t>ENUM</t>
  </si>
  <si>
    <t>INT</t>
  </si>
  <si>
    <t>DECIMAL</t>
  </si>
  <si>
    <t>5, 2</t>
  </si>
  <si>
    <t>ME01-251012</t>
  </si>
  <si>
    <t>OB</t>
  </si>
  <si>
    <t>LENGTH</t>
  </si>
  <si>
    <t>LENGHT2</t>
  </si>
  <si>
    <t>LAPTOP','PC DESKTOP'</t>
  </si>
  <si>
    <t>GOOD','BAD'</t>
  </si>
  <si>
    <t>GREAT','NORMAL','CAUTION','POOR'</t>
  </si>
  <si>
    <t>KEEP','UPGRADE','SERVICE','DISPOSE'</t>
  </si>
  <si>
    <t>PERSONAL','OPERATIONAL','SYSTEM','TESTING'</t>
  </si>
  <si>
    <t>PIC','LOAN'</t>
  </si>
  <si>
    <t>CONNECTIONS</t>
  </si>
  <si>
    <t>FUNCTIONS</t>
  </si>
  <si>
    <t>PR/ASR/1024/014</t>
  </si>
  <si>
    <t>PR/ASR/1024/002</t>
  </si>
  <si>
    <t>DDR4, SO-DIMM, 2400 / 2667 Mhz</t>
  </si>
  <si>
    <t>SSD M.2/KYO Kaizen</t>
  </si>
  <si>
    <t>HDD SATA 2.5"/Toshiba MQ01ABD100</t>
  </si>
  <si>
    <t>00330-71290-00002-AAOEM</t>
  </si>
  <si>
    <t>O99-ITD-NB002</t>
  </si>
  <si>
    <t>C63RQT2</t>
  </si>
  <si>
    <t>MOEQPLPT1020006</t>
  </si>
  <si>
    <t>Latitude 3400</t>
  </si>
  <si>
    <t>i5-8265U</t>
  </si>
  <si>
    <t>CAUTION</t>
  </si>
  <si>
    <t>BH &lt; 20%</t>
  </si>
  <si>
    <t>DISPOSE</t>
  </si>
  <si>
    <t>Repair [Battery]. Optional [Upgrade ; SSD 512 GB, RAM 16 GB]</t>
  </si>
  <si>
    <t>WAREHOUSE</t>
  </si>
  <si>
    <t>IN STORE</t>
  </si>
  <si>
    <t>PR/XXX/0000/000</t>
  </si>
  <si>
    <t>POP/XXX/0000/000</t>
  </si>
  <si>
    <t>2000-01-01</t>
  </si>
  <si>
    <t>MASHQEQP2000001</t>
  </si>
  <si>
    <t>MASHQEQP2000002</t>
  </si>
  <si>
    <t>O99-ITD-NB003</t>
  </si>
  <si>
    <t>1C22QN3</t>
  </si>
  <si>
    <t>DI8MASEQP2200010</t>
  </si>
  <si>
    <t>Latitude 5420</t>
  </si>
  <si>
    <t>i7-1185G7</t>
  </si>
  <si>
    <t>00330-50000-00000-AAOEM</t>
  </si>
  <si>
    <t>SSD M.2 Nvme/SK Hynix BC711</t>
  </si>
  <si>
    <t>SSD M.2 SATA/TEAM TM8PS7256G</t>
  </si>
  <si>
    <t>DDR4, SO-DIMM, 2667 Mhz</t>
  </si>
  <si>
    <t>00330-52338-50146-AAOEM</t>
  </si>
  <si>
    <t>A[3/3]</t>
  </si>
  <si>
    <t>RTL</t>
  </si>
  <si>
    <t>M02-ITD-NB004</t>
  </si>
  <si>
    <t>1B2RQT2</t>
  </si>
  <si>
    <t>MOEQPLPT1020005</t>
  </si>
  <si>
    <t>MB ERROR = ShutDown Often</t>
  </si>
  <si>
    <t>Ex Hardi Wasisto</t>
  </si>
  <si>
    <t>00330-52338-74258-AAOEM</t>
  </si>
  <si>
    <t>23H2</t>
  </si>
  <si>
    <t>SSD M.2 SATA/SK Hynix SC311</t>
  </si>
  <si>
    <t>001</t>
  </si>
  <si>
    <t>002</t>
  </si>
  <si>
    <t>003</t>
  </si>
  <si>
    <t>004</t>
  </si>
  <si>
    <t>NB.001</t>
  </si>
  <si>
    <t>EXPIRED</t>
  </si>
  <si>
    <t>NB.002</t>
  </si>
  <si>
    <t>NB.003</t>
  </si>
  <si>
    <t>NB.004</t>
  </si>
  <si>
    <t>BJK</t>
  </si>
  <si>
    <t>PPP</t>
  </si>
  <si>
    <t>nip</t>
  </si>
  <si>
    <t>name</t>
  </si>
  <si>
    <t>id_level</t>
  </si>
  <si>
    <t>salary</t>
  </si>
  <si>
    <t>id_so</t>
  </si>
  <si>
    <t>business_unit</t>
  </si>
  <si>
    <t>date_hiring</t>
  </si>
  <si>
    <t>convertdh</t>
  </si>
  <si>
    <t>date_resign</t>
  </si>
  <si>
    <t>convertdr</t>
  </si>
  <si>
    <t>status</t>
  </si>
  <si>
    <t>no_tlp</t>
  </si>
  <si>
    <t>email</t>
  </si>
  <si>
    <t>ad</t>
  </si>
  <si>
    <t>level</t>
  </si>
  <si>
    <t>id_dir</t>
  </si>
  <si>
    <t>directorate</t>
  </si>
  <si>
    <t>id_div</t>
  </si>
  <si>
    <t>division</t>
  </si>
  <si>
    <t>departement</t>
  </si>
  <si>
    <t>sub-departement</t>
  </si>
  <si>
    <t>id_corp</t>
  </si>
  <si>
    <t>pic_nip</t>
  </si>
  <si>
    <t>domain</t>
  </si>
  <si>
    <t>type</t>
  </si>
  <si>
    <t>license_type</t>
  </si>
  <si>
    <t>mfa</t>
  </si>
  <si>
    <t>password</t>
  </si>
  <si>
    <t>create_date</t>
  </si>
  <si>
    <t>modified_date</t>
  </si>
  <si>
    <t>id_asset</t>
  </si>
  <si>
    <t>hostname</t>
  </si>
  <si>
    <t>sn</t>
  </si>
  <si>
    <t>barcode</t>
  </si>
  <si>
    <t>category</t>
  </si>
  <si>
    <t>brand</t>
  </si>
  <si>
    <t>processors</t>
  </si>
  <si>
    <t>gen</t>
  </si>
  <si>
    <t>ram_cap</t>
  </si>
  <si>
    <t>ram_slot</t>
  </si>
  <si>
    <t>ram_type</t>
  </si>
  <si>
    <t>disk1_cap</t>
  </si>
  <si>
    <t>disk1_type</t>
  </si>
  <si>
    <t>disk2_cap</t>
  </si>
  <si>
    <t>disk2_type</t>
  </si>
  <si>
    <t>os</t>
  </si>
  <si>
    <t>os_type</t>
  </si>
  <si>
    <t>os_ver</t>
  </si>
  <si>
    <t>product_id</t>
  </si>
  <si>
    <t>product_key</t>
  </si>
  <si>
    <t>bh</t>
  </si>
  <si>
    <t>dc</t>
  </si>
  <si>
    <t>fcc</t>
  </si>
  <si>
    <t>casing</t>
  </si>
  <si>
    <t>display</t>
  </si>
  <si>
    <t>port_display</t>
  </si>
  <si>
    <t>keyboard</t>
  </si>
  <si>
    <t>touchpad</t>
  </si>
  <si>
    <t>port_usb</t>
  </si>
  <si>
    <t>port_jeck</t>
  </si>
  <si>
    <t>port_psu</t>
  </si>
  <si>
    <t>fan</t>
  </si>
  <si>
    <t>webcam</t>
  </si>
  <si>
    <t>microfon</t>
  </si>
  <si>
    <t>speaker</t>
  </si>
  <si>
    <t>connection</t>
  </si>
  <si>
    <t>conditions</t>
  </si>
  <si>
    <t>sub_con</t>
  </si>
  <si>
    <t>note_con</t>
  </si>
  <si>
    <t>solution</t>
  </si>
  <si>
    <t>note_sol</t>
  </si>
  <si>
    <t>status_func</t>
  </si>
  <si>
    <t>functions</t>
  </si>
  <si>
    <t>note_func</t>
  </si>
  <si>
    <t>history_pic</t>
  </si>
  <si>
    <t>location</t>
  </si>
  <si>
    <t>note_loc</t>
  </si>
  <si>
    <t>id_maintenance</t>
  </si>
  <si>
    <t>val-1</t>
  </si>
  <si>
    <t>maintenance</t>
  </si>
  <si>
    <t>time_desc</t>
  </si>
  <si>
    <t>characteristic</t>
  </si>
  <si>
    <t>id_task</t>
  </si>
  <si>
    <t>id_maintenance2</t>
  </si>
  <si>
    <t>schedule_task</t>
  </si>
  <si>
    <t>sch_conv</t>
  </si>
  <si>
    <t>id_wh</t>
  </si>
  <si>
    <t>no</t>
  </si>
  <si>
    <t>wh_site</t>
  </si>
  <si>
    <t>status_available</t>
  </si>
  <si>
    <t>id_site</t>
  </si>
  <si>
    <t>no_pr</t>
  </si>
  <si>
    <t>no_po</t>
  </si>
  <si>
    <t>date_pr</t>
  </si>
  <si>
    <t>convdpr</t>
  </si>
  <si>
    <t>date_po</t>
  </si>
  <si>
    <t>convpo</t>
  </si>
  <si>
    <t>date_shipping</t>
  </si>
  <si>
    <t>convshp</t>
  </si>
  <si>
    <t>price</t>
  </si>
  <si>
    <t>qty</t>
  </si>
  <si>
    <t>date_acquisition</t>
  </si>
  <si>
    <t>convacq</t>
  </si>
  <si>
    <t>site</t>
  </si>
  <si>
    <t>company</t>
  </si>
  <si>
    <t>country</t>
  </si>
  <si>
    <t>provincy</t>
  </si>
  <si>
    <t>city</t>
  </si>
  <si>
    <t>address</t>
  </si>
  <si>
    <t>url_maps</t>
  </si>
  <si>
    <t>PT. ANDAL MAKMUR AGUNG</t>
  </si>
  <si>
    <t>AMA</t>
  </si>
  <si>
    <t>PT. PESONA PURI PROPERTY</t>
  </si>
  <si>
    <t>PT. MAKMUR JAYA SERASI</t>
  </si>
  <si>
    <t>PT. MANDIRI ANDAL SEJAHTERA</t>
  </si>
  <si>
    <t>PT. MULTI ARTHA PRATAMA</t>
  </si>
  <si>
    <t>ASRI Corp, Hublife, Ashta, K-Mall</t>
  </si>
  <si>
    <t>PT. KENCANA AGUNG MAKMUR</t>
  </si>
  <si>
    <t>KAM</t>
  </si>
  <si>
    <t>PT. BANGUN JAYA KREASI</t>
  </si>
  <si>
    <t>PT. KARUNIA ARTHA PRATAMA</t>
  </si>
  <si>
    <t>KAP</t>
  </si>
  <si>
    <t>PT. SINEMA AGUNG MANDIRI</t>
  </si>
  <si>
    <t>Flix</t>
  </si>
  <si>
    <t>SAM</t>
  </si>
  <si>
    <t>KMB</t>
  </si>
  <si>
    <t>PT. KAWASAN MANDIRI BERSAMA</t>
  </si>
  <si>
    <t>District 8 [POM]</t>
  </si>
  <si>
    <t>District 8 [KAWASAN]</t>
  </si>
  <si>
    <t>BJK; MAS</t>
  </si>
  <si>
    <t>MJS; MAS</t>
  </si>
  <si>
    <t>KAP; KMB</t>
  </si>
  <si>
    <t>V</t>
  </si>
  <si>
    <t>O</t>
  </si>
  <si>
    <t>P</t>
  </si>
  <si>
    <t>A</t>
  </si>
  <si>
    <t>M</t>
  </si>
  <si>
    <t>H</t>
  </si>
  <si>
    <t>C</t>
  </si>
  <si>
    <t>CINEMA</t>
  </si>
  <si>
    <t>HOTEL</t>
  </si>
  <si>
    <t>APARTEMENT</t>
  </si>
  <si>
    <t>POM</t>
  </si>
  <si>
    <t>OFFICE</t>
  </si>
  <si>
    <t>group</t>
  </si>
  <si>
    <t>Hospitality</t>
  </si>
  <si>
    <t>Innovation</t>
  </si>
  <si>
    <t>DIRECTORATE</t>
  </si>
  <si>
    <t>DIVISION</t>
  </si>
  <si>
    <t>DEPARTEMENT</t>
  </si>
  <si>
    <t>SUB-DEPARTEMENT</t>
  </si>
  <si>
    <t>IT Admin</t>
  </si>
  <si>
    <t>IT OPERATION &amp; PROJECT</t>
  </si>
  <si>
    <t>IT SECURITY COMPLIENCE</t>
  </si>
  <si>
    <t>IT INFRASTRUCTURE</t>
  </si>
  <si>
    <t>IT DevOps</t>
  </si>
  <si>
    <t>IT Software Engineer</t>
  </si>
  <si>
    <t>IT SOFTWARE</t>
  </si>
  <si>
    <t>MARKING</t>
  </si>
  <si>
    <t>X</t>
  </si>
  <si>
    <t>IT GENERAL</t>
  </si>
  <si>
    <t>CTO</t>
  </si>
  <si>
    <t>Finance Reporting</t>
  </si>
  <si>
    <t>CFO</t>
  </si>
  <si>
    <t>CORPORATE FINANCE</t>
  </si>
  <si>
    <t>ACCOUNTING</t>
  </si>
  <si>
    <t>FINANCE</t>
  </si>
  <si>
    <t>PRPCUREMENT &amp; PURCHASEING</t>
  </si>
  <si>
    <t>RESEARCH &amp; DEVELOPMENT</t>
  </si>
  <si>
    <t>HUMAN RESOURCE</t>
  </si>
  <si>
    <t>HR &amp;GA</t>
  </si>
  <si>
    <t>ISO Admin</t>
  </si>
  <si>
    <t>IABP</t>
  </si>
  <si>
    <t>HR OPERATION</t>
  </si>
  <si>
    <t>GENERAL AFFAIR</t>
  </si>
  <si>
    <t>OPERATION</t>
  </si>
  <si>
    <t>Operational</t>
  </si>
  <si>
    <t>DIV0.12</t>
  </si>
  <si>
    <t>DIR1.19</t>
  </si>
  <si>
    <t>Direktur Operational</t>
  </si>
  <si>
    <t>id_dep</t>
  </si>
  <si>
    <t>id._sub</t>
  </si>
  <si>
    <t>id_buss</t>
  </si>
  <si>
    <t>position</t>
  </si>
  <si>
    <t>id_sub</t>
  </si>
  <si>
    <t>sub_departement</t>
  </si>
  <si>
    <t>A01;M05</t>
  </si>
  <si>
    <t>O99;A02;M01;M04</t>
  </si>
  <si>
    <t>M02;M03</t>
  </si>
  <si>
    <t>OD8;M04</t>
  </si>
  <si>
    <t>A02;A03;M06</t>
  </si>
  <si>
    <t>no.domain</t>
  </si>
  <si>
    <t>FREE</t>
  </si>
  <si>
    <t>NO LICENSE</t>
  </si>
  <si>
    <t>NOT ACTIVED</t>
  </si>
  <si>
    <t>function</t>
  </si>
  <si>
    <t>access</t>
  </si>
  <si>
    <t>Internet, Ticketing, Server, Qnap</t>
  </si>
  <si>
    <t>NO ACT</t>
  </si>
  <si>
    <t>NOTEBOOK</t>
  </si>
  <si>
    <t>PC</t>
  </si>
  <si>
    <t>COMPUTING DEVICE</t>
  </si>
  <si>
    <t>WORKSTATION</t>
  </si>
  <si>
    <t>SEVER</t>
  </si>
  <si>
    <t>MINI PC</t>
  </si>
  <si>
    <t>NUC</t>
  </si>
  <si>
    <t>ALL-IN-ONE PC</t>
  </si>
  <si>
    <t>THIN CLIENT</t>
  </si>
  <si>
    <t>ZERO CLIENT</t>
  </si>
  <si>
    <t>desc</t>
  </si>
  <si>
    <t>example</t>
  </si>
  <si>
    <t>Komputer portabel dengan baterai</t>
  </si>
  <si>
    <t>Komputer meja (tower)</t>
  </si>
  <si>
    <t>PC performa tinggi untuk desain/engineering</t>
  </si>
  <si>
    <t>GPU, RAM Capacity, Software License</t>
  </si>
  <si>
    <t>Processor, RAM, Storage, OS License</t>
  </si>
  <si>
    <t>Serial Number, Spesifikasi, User, Lokasi</t>
  </si>
  <si>
    <t>Komputer untuk layanan jaringan</t>
  </si>
  <si>
    <t>Rack Unit, IP Address, OS, Role (DC, App, DB)</t>
  </si>
  <si>
    <t>Komputer compact ukuran kecil</t>
  </si>
  <si>
    <t>Spesifikasi, Lokasi Deploy</t>
  </si>
  <si>
    <t>PC dengan monitor terintegrasi</t>
  </si>
  <si>
    <t>Spesifikasi, User Assignment</t>
  </si>
  <si>
    <t>Perangkat ringan untuk virtual desktop</t>
  </si>
  <si>
    <t>Perangkat telepon pintar perusahaan</t>
  </si>
  <si>
    <t>Scanner barcode/RFID untuk warehouse</t>
  </si>
  <si>
    <t>iPad, Android Tablet untuk presentasi/field work</t>
  </si>
  <si>
    <t>Perangkat mobile tahan banting untuk lapangan</t>
  </si>
  <si>
    <t>Menghubungkan jaringan lokal ke internet/WAN</t>
  </si>
  <si>
    <t>Menghubungkan perangkat dalam satu jaringan LAN</t>
  </si>
  <si>
    <t>Menyediakan koneksi WiFi</t>
  </si>
  <si>
    <t>Keamanan jaringan dari ancaman eksternal</t>
  </si>
  <si>
    <t>Mengkonversi sinyal internet dari ISP</t>
  </si>
  <si>
    <t>Mendistribusikan traffic ke beberapa server</t>
  </si>
  <si>
    <t>Mengelola banyak Access Point secara terpusat</t>
  </si>
  <si>
    <t>Penyimpanan terpusat via jaringan</t>
  </si>
  <si>
    <t>High-performance storage untuk enterprise</t>
  </si>
  <si>
    <t>Penyimpanan portable</t>
  </si>
  <si>
    <t>Backup jangka panjang (legacy)</t>
  </si>
  <si>
    <t>Penyimpanan portable kecil</t>
  </si>
  <si>
    <t>LaserJet, InkJet, Dot Matrix, Plotter</t>
  </si>
  <si>
    <t>Flatbed, Document Scanner, Sheet-fed</t>
  </si>
  <si>
    <t>LCD, LED, Ultrawide</t>
  </si>
  <si>
    <t>Untuk presentasi/ruang meeting</t>
  </si>
  <si>
    <t>UPS</t>
  </si>
  <si>
    <t>Backup daya listrik</t>
  </si>
  <si>
    <t>Ekspansi port untuk laptop</t>
  </si>
  <si>
    <t>Untuk video meeting</t>
  </si>
  <si>
    <t>Input devices (termasuk wireless)</t>
  </si>
  <si>
    <t>TV</t>
  </si>
  <si>
    <t>Pengawasan visual</t>
  </si>
  <si>
    <t>Fingerprint, Face Recognition untuk absensi/akses</t>
  </si>
  <si>
    <t>Mengontrol akses pintu/ruangan</t>
  </si>
  <si>
    <t>Manajemen kunci enkripsi</t>
  </si>
  <si>
    <t>Pengaman fisik perangkat</t>
  </si>
  <si>
    <t>Telepon berbasis IP</t>
  </si>
  <si>
    <t>Sistem telepon internal perusahaan</t>
  </si>
  <si>
    <t>Perangkat meeting room (Polycom, Cisco Webex)</t>
  </si>
  <si>
    <t>Komunikasi internal gedung</t>
  </si>
  <si>
    <t>Rak untuk menempatkan server</t>
  </si>
  <si>
    <t>Distribusi listrik ke perangkat rack</t>
  </si>
  <si>
    <t>Mengontrol banyak server dengan 1 keyboard/monitor</t>
  </si>
  <si>
    <t>Pendingin ruangan server</t>
  </si>
  <si>
    <t>Monitoring suhu &amp; kelembaban</t>
  </si>
  <si>
    <t>SMARTPHONE</t>
  </si>
  <si>
    <t>TABLET</t>
  </si>
  <si>
    <t>HANDHELD SCANNER</t>
  </si>
  <si>
    <t>RUGGED DEVICE</t>
  </si>
  <si>
    <t>ROUTER</t>
  </si>
  <si>
    <t>SWITCH MANAGED</t>
  </si>
  <si>
    <t>SWITCH UNMANAGED</t>
  </si>
  <si>
    <t>ACCESS POINT</t>
  </si>
  <si>
    <t xml:space="preserve">FIREWALL </t>
  </si>
  <si>
    <t>MODEM</t>
  </si>
  <si>
    <t>LOAD BALANCER</t>
  </si>
  <si>
    <t>WIRELESS CONTROLLER</t>
  </si>
  <si>
    <t>NAS (NETWORK ATTACHED STORAGE)</t>
  </si>
  <si>
    <t>SAN (STORAGE AREA NETWORK)</t>
  </si>
  <si>
    <t>EXTERNAL HDD/SSD</t>
  </si>
  <si>
    <t>TAPE DRIVE / LIBRARY</t>
  </si>
  <si>
    <t>FLASH DRIVE</t>
  </si>
  <si>
    <t>PRINTER</t>
  </si>
  <si>
    <t>SCANNER</t>
  </si>
  <si>
    <t>MONITOR DISPLAY</t>
  </si>
  <si>
    <t>PROJECTOR</t>
  </si>
  <si>
    <t>DOCKING STATION</t>
  </si>
  <si>
    <t>WEBCAM &amp; CONFERENCE KIT</t>
  </si>
  <si>
    <t>MOUSE</t>
  </si>
  <si>
    <t>IP CAMERA / CCTV</t>
  </si>
  <si>
    <t>BIOMETRIC SCANNER</t>
  </si>
  <si>
    <t>ACCESS CONTROL PANEL</t>
  </si>
  <si>
    <t>HARDWARE SECURITY MODULE (HSM)</t>
  </si>
  <si>
    <t>USB LOCK / PHYSICAL LOCK</t>
  </si>
  <si>
    <t>IP PHONE / VOIP</t>
  </si>
  <si>
    <t>PBX SYSTEM</t>
  </si>
  <si>
    <t>VIDEO CONFERENCE SYSTEM</t>
  </si>
  <si>
    <t>INTERCOM SYSTEM</t>
  </si>
  <si>
    <t>SERVER RACK</t>
  </si>
  <si>
    <t>PDU (POWER DISTRIBUTION UNIT)</t>
  </si>
  <si>
    <t>KVM SWITCH</t>
  </si>
  <si>
    <t>COOLING SYSTEM</t>
  </si>
  <si>
    <t>ENVIRONMENTAL SENSOR</t>
  </si>
  <si>
    <t>MOBILE DEVICES</t>
  </si>
  <si>
    <t>NETWORKING DEVICES</t>
  </si>
  <si>
    <t>STORAGE DEVICES</t>
  </si>
  <si>
    <t>PERIPHERAL DEVICES</t>
  </si>
  <si>
    <t>SECURITY DEVICES</t>
  </si>
  <si>
    <t>TELECOMMUNICATION DEVICES</t>
  </si>
  <si>
    <t>DATA CENTER INFRASTRUCTURE</t>
  </si>
  <si>
    <t>LAPT</t>
  </si>
  <si>
    <t>NOTE</t>
  </si>
  <si>
    <t>DESK</t>
  </si>
  <si>
    <t>PCDS</t>
  </si>
  <si>
    <t>WORK</t>
  </si>
  <si>
    <t>SRVR</t>
  </si>
  <si>
    <t>MNPC</t>
  </si>
  <si>
    <t>NUCS</t>
  </si>
  <si>
    <t>AIOP</t>
  </si>
  <si>
    <t>THCL</t>
  </si>
  <si>
    <t>ZECL</t>
  </si>
  <si>
    <t>SMPH</t>
  </si>
  <si>
    <t>TABL</t>
  </si>
  <si>
    <t>HSCN</t>
  </si>
  <si>
    <t>RGDV</t>
  </si>
  <si>
    <t>RTER</t>
  </si>
  <si>
    <t>SWMG</t>
  </si>
  <si>
    <t>SWUM</t>
  </si>
  <si>
    <t>ACPT</t>
  </si>
  <si>
    <t>FRWL</t>
  </si>
  <si>
    <t>MODM</t>
  </si>
  <si>
    <t>LDBL</t>
  </si>
  <si>
    <t>WLCT</t>
  </si>
  <si>
    <t>NAST</t>
  </si>
  <si>
    <t>SARN</t>
  </si>
  <si>
    <t>EXHD</t>
  </si>
  <si>
    <t>TPLB</t>
  </si>
  <si>
    <t>FLDV</t>
  </si>
  <si>
    <t>PRNT</t>
  </si>
  <si>
    <t>SCNR</t>
  </si>
  <si>
    <t>MDSP</t>
  </si>
  <si>
    <t>TVMN</t>
  </si>
  <si>
    <t>PRJR</t>
  </si>
  <si>
    <t>UPSP</t>
  </si>
  <si>
    <t>DKST</t>
  </si>
  <si>
    <t>WBCA</t>
  </si>
  <si>
    <t>KYBD</t>
  </si>
  <si>
    <t>MOUS</t>
  </si>
  <si>
    <t>IPCM</t>
  </si>
  <si>
    <t>BMSC</t>
  </si>
  <si>
    <t>ACPL</t>
  </si>
  <si>
    <t>HWSM</t>
  </si>
  <si>
    <t>USLK</t>
  </si>
  <si>
    <t>VPIP</t>
  </si>
  <si>
    <t>PBXS</t>
  </si>
  <si>
    <t>VCON</t>
  </si>
  <si>
    <t>INCM</t>
  </si>
  <si>
    <t>SRCK</t>
  </si>
  <si>
    <t>PWRD</t>
  </si>
  <si>
    <t>KVMS</t>
  </si>
  <si>
    <t>CLNG</t>
  </si>
  <si>
    <t>ENSR</t>
  </si>
  <si>
    <t>id_cat_device</t>
  </si>
  <si>
    <t>item</t>
  </si>
  <si>
    <t>COMPD</t>
  </si>
  <si>
    <t>DCINF</t>
  </si>
  <si>
    <t>MOBIL</t>
  </si>
  <si>
    <t>NETDV</t>
  </si>
  <si>
    <t>PERID</t>
  </si>
  <si>
    <t>SECDV</t>
  </si>
  <si>
    <t>STGDV</t>
  </si>
  <si>
    <t>TELCD</t>
  </si>
  <si>
    <t>id_cat</t>
  </si>
  <si>
    <t>id_compd</t>
  </si>
  <si>
    <t>LAPT-0001</t>
  </si>
  <si>
    <t>MNPC-0001</t>
  </si>
  <si>
    <t>LAPT-0002</t>
  </si>
  <si>
    <t>LAPT-0003</t>
  </si>
  <si>
    <t>LAPT-0004</t>
  </si>
  <si>
    <t>LAPT-0005</t>
  </si>
  <si>
    <t>LAPT-0006</t>
  </si>
  <si>
    <t>LAPT-0007</t>
  </si>
  <si>
    <t>LAPT-0008</t>
  </si>
  <si>
    <t>LAPT-0009</t>
  </si>
  <si>
    <t>LAPT-0010</t>
  </si>
  <si>
    <t>LAPT-0011</t>
  </si>
  <si>
    <t>LAPT-0012</t>
  </si>
  <si>
    <t>LAPT-0013</t>
  </si>
  <si>
    <t>LAPT-0014</t>
  </si>
  <si>
    <t>assgined_to</t>
  </si>
  <si>
    <t>recipient_nip</t>
  </si>
  <si>
    <t>NO.</t>
  </si>
  <si>
    <t>DATE</t>
  </si>
  <si>
    <t>Hardisk</t>
  </si>
  <si>
    <t>NO.PO</t>
  </si>
  <si>
    <t>NO.WPR</t>
  </si>
  <si>
    <t>SHIPPDATE</t>
  </si>
  <si>
    <t>STATUS</t>
  </si>
  <si>
    <t>O99-FIN-NB061</t>
  </si>
  <si>
    <t>MASHQEQP2500013</t>
  </si>
  <si>
    <t>CRUB05Z027</t>
  </si>
  <si>
    <t>Zyrex, Cruiser 20 1425H-16S5P-5</t>
  </si>
  <si>
    <t>i5-12450H</t>
  </si>
  <si>
    <t>16 GB</t>
  </si>
  <si>
    <t>512 GB SSD</t>
  </si>
  <si>
    <t>ASRI HQ</t>
  </si>
  <si>
    <t>Sindi Silitonga</t>
  </si>
  <si>
    <t>DONE</t>
  </si>
  <si>
    <t>SECOND DEVICE</t>
  </si>
  <si>
    <t>O99-FIN-NB070</t>
  </si>
  <si>
    <t>MASHQEQP2600002</t>
  </si>
  <si>
    <t>PF6349D4</t>
  </si>
  <si>
    <t>Lanovo, V14 G5 IRL 83GU007KID</t>
  </si>
  <si>
    <t>i5-13420H</t>
  </si>
  <si>
    <t>Aulia Dina Savitri</t>
  </si>
  <si>
    <t>POP/ASR/0426/003</t>
  </si>
  <si>
    <t>PR/ASR/0226/008</t>
  </si>
  <si>
    <t>NEW DEVICE</t>
  </si>
  <si>
    <t>O99-FIN-NB071</t>
  </si>
  <si>
    <t>MASHQEQP2600003</t>
  </si>
  <si>
    <t>PF630T77</t>
  </si>
  <si>
    <t>Aldhie Pratama Sugiri</t>
  </si>
  <si>
    <t>O99-FIN-NB072</t>
  </si>
  <si>
    <t>MASHQEQP2600004</t>
  </si>
  <si>
    <t>PF631132</t>
  </si>
  <si>
    <t>Nan Afan</t>
  </si>
  <si>
    <t>005</t>
  </si>
  <si>
    <t>O99-FIN-NB073</t>
  </si>
  <si>
    <t>MASHQEQP2600005</t>
  </si>
  <si>
    <t>PF631850</t>
  </si>
  <si>
    <t>Evelyn Sabella Talahi</t>
  </si>
  <si>
    <t>006</t>
  </si>
  <si>
    <t>O99-FIN-NB074</t>
  </si>
  <si>
    <t>MASHQEQP2600006</t>
  </si>
  <si>
    <t>PF630LFB</t>
  </si>
  <si>
    <t>Tedy Henra Silo</t>
  </si>
  <si>
    <t>007</t>
  </si>
  <si>
    <t>O99-FIN-NB075</t>
  </si>
  <si>
    <t>MASHQEQP2600007</t>
  </si>
  <si>
    <t>PF6315KW</t>
  </si>
  <si>
    <t>Bagus Rinaldi</t>
  </si>
  <si>
    <t>008</t>
  </si>
  <si>
    <t>O99-FIN-NB076</t>
  </si>
  <si>
    <t>MASHQEQP2600008</t>
  </si>
  <si>
    <t>PF62Y32R</t>
  </si>
  <si>
    <t>Hasanudin</t>
  </si>
  <si>
    <t>009</t>
  </si>
  <si>
    <t>O99-FIN-NB077</t>
  </si>
  <si>
    <t>MASHQEQP2600009</t>
  </si>
  <si>
    <t>PF630R01</t>
  </si>
  <si>
    <t>Vanny Paramitha</t>
  </si>
  <si>
    <t>010</t>
  </si>
  <si>
    <t>O99-FIN-NB078</t>
  </si>
  <si>
    <t>MASHQEQP2600010</t>
  </si>
  <si>
    <t>PF6316F2</t>
  </si>
  <si>
    <t>Lanovo, V14 G5 IRL 83GU007HID</t>
  </si>
  <si>
    <t>i7-13620H</t>
  </si>
  <si>
    <t>Helwin Firmansyah</t>
  </si>
  <si>
    <t>011</t>
  </si>
  <si>
    <t>O99-FIN-NB079</t>
  </si>
  <si>
    <t>MASHQEQP2600011</t>
  </si>
  <si>
    <t>PF631LDA</t>
  </si>
  <si>
    <t>Afifah IsmahKheolda</t>
  </si>
  <si>
    <t>012</t>
  </si>
  <si>
    <t>O99-FIN-NB080</t>
  </si>
  <si>
    <t>MASHQEQP2600012</t>
  </si>
  <si>
    <t>PF634H5M</t>
  </si>
  <si>
    <t>Andreas Angga Wijaya</t>
  </si>
  <si>
    <t>013</t>
  </si>
  <si>
    <t>O99-FIN-NB081</t>
  </si>
  <si>
    <t>MASHQEQP2600013</t>
  </si>
  <si>
    <t>PF62YEG5</t>
  </si>
  <si>
    <t>Finarsih Septria</t>
  </si>
  <si>
    <t>014</t>
  </si>
  <si>
    <t>O99-FIN-NB082</t>
  </si>
  <si>
    <t>MASHQEQP2600014</t>
  </si>
  <si>
    <t>PF631DGH</t>
  </si>
  <si>
    <t>Muchammad Yusuf Ichsan</t>
  </si>
  <si>
    <t>015</t>
  </si>
  <si>
    <t>O99-FIN-NB083</t>
  </si>
  <si>
    <t>MASHQEQP2600015</t>
  </si>
  <si>
    <t>PF631J1N</t>
  </si>
  <si>
    <t>Elisa Kusumanita Sari</t>
  </si>
  <si>
    <t>016</t>
  </si>
  <si>
    <t>O99-FIN-NB084</t>
  </si>
  <si>
    <t>MASHQEQP2600016</t>
  </si>
  <si>
    <t>PF633C99</t>
  </si>
  <si>
    <t>Dominggo M.P Aritonang</t>
  </si>
  <si>
    <t>017</t>
  </si>
  <si>
    <t>O99-ITD-NB013</t>
  </si>
  <si>
    <t>Dell, Latitude 3450</t>
  </si>
  <si>
    <t>Stanley Wijaya</t>
  </si>
  <si>
    <t>POP/ASR/1124/007</t>
  </si>
  <si>
    <t>018</t>
  </si>
  <si>
    <t>Dell, Latitude 3430</t>
  </si>
  <si>
    <t>8 GB</t>
  </si>
  <si>
    <t>512 GB SSD + 500 GB HDD</t>
  </si>
  <si>
    <t>Hannes Boris</t>
  </si>
  <si>
    <t>019</t>
  </si>
  <si>
    <t>O99-MBD-NB004</t>
  </si>
  <si>
    <t>MASHQEQP2400021</t>
  </si>
  <si>
    <t>GHTF244</t>
  </si>
  <si>
    <t>Dell, Latitude 5450</t>
  </si>
  <si>
    <t>Ultra 7 165U</t>
  </si>
  <si>
    <t>1 TB SSD</t>
  </si>
  <si>
    <t>Aldo Jeffrey F Wowor</t>
  </si>
  <si>
    <t>Rieke Maulida</t>
  </si>
  <si>
    <t>POP/ASR/0724/004</t>
  </si>
  <si>
    <t>id_doc</t>
  </si>
  <si>
    <t>date</t>
  </si>
  <si>
    <t>d</t>
  </si>
  <si>
    <t>m</t>
  </si>
  <si>
    <t>brand.type</t>
  </si>
  <si>
    <t>processor</t>
  </si>
  <si>
    <t>ram</t>
  </si>
  <si>
    <t>nip_from</t>
  </si>
  <si>
    <t>nip_to</t>
  </si>
  <si>
    <t>status_doc</t>
  </si>
  <si>
    <t>status_assets</t>
  </si>
  <si>
    <t>PENDING</t>
  </si>
  <si>
    <t>PROCESSING</t>
  </si>
  <si>
    <t>f</t>
  </si>
  <si>
    <t>APPROVALS</t>
  </si>
  <si>
    <t>ICO</t>
  </si>
  <si>
    <t>CODE</t>
  </si>
  <si>
    <t>NO</t>
  </si>
  <si>
    <t>TGL_BUAT_BQ</t>
  </si>
  <si>
    <t>BQ_DIBUAT</t>
  </si>
  <si>
    <t>BQ_UNTUK</t>
  </si>
  <si>
    <t>BQ_PRIHAL</t>
  </si>
  <si>
    <t>QTY</t>
  </si>
  <si>
    <t>UOM</t>
  </si>
  <si>
    <t>NO. BOQ</t>
  </si>
  <si>
    <t>BQ-STATUS_APPROVALS</t>
  </si>
  <si>
    <t>BQ_CHECK</t>
  </si>
  <si>
    <t>BQ_KNOWN</t>
  </si>
  <si>
    <t>BQ_APPROVAL</t>
  </si>
  <si>
    <t>NO.PR</t>
  </si>
  <si>
    <t>NO. PO</t>
  </si>
  <si>
    <t>SHIPPING DATE</t>
  </si>
  <si>
    <t>LAST_DOC</t>
  </si>
  <si>
    <t>KETERANGAN</t>
  </si>
  <si>
    <t>User ASGO</t>
  </si>
  <si>
    <t>Pengadaan Perangkat Kerja Untuk Site PIKO;
11 [1 Unit i7 Mult, 2 unit i7 &amp; 8 unit i5]</t>
  </si>
  <si>
    <t>UNIT</t>
  </si>
  <si>
    <t>001/BOQ/IM-IT/ASRI/IV/2025</t>
  </si>
  <si>
    <t>SIGN</t>
  </si>
  <si>
    <t>PR/ASR/0425/011</t>
  </si>
  <si>
    <t>POP/ASR/0525/002</t>
  </si>
  <si>
    <t>Marcom Manager Flix</t>
  </si>
  <si>
    <t>Pengadaan Perangkat Kerja Untuk Site SHQ; 1 unit i5</t>
  </si>
  <si>
    <t>002/BOQ/IM-IT/ASRI/IV/2025</t>
  </si>
  <si>
    <t>Wahyu Prananto
Agus Harianto</t>
  </si>
  <si>
    <t>Pengadaan Perangkat Kerja Untuk Site HQ Mall ; 2 unit i5</t>
  </si>
  <si>
    <t>003/BOQ/IM-IT/ASRI/IV/2025</t>
  </si>
  <si>
    <t>Fransiscus Simson</t>
  </si>
  <si>
    <t>Wuwanji Septian</t>
  </si>
  <si>
    <t>Pembelian SSD WD 1TB - M.2 NVMe 2230</t>
  </si>
  <si>
    <t>009/BOQ/IM-IT-OPS/ASRI/X/2025</t>
  </si>
  <si>
    <t>Innovations Tim</t>
  </si>
  <si>
    <t>Pengadaan Perangkat Kerja Untuk Site PIKO; 2 Mobile Phone</t>
  </si>
  <si>
    <t>002/BOQ/IM-IT-OPS/ASRI/X/2025</t>
  </si>
  <si>
    <t>Galih Rizky Kurniawan
Candra Segren
Dominggo M.P Aritonang
Kezia</t>
  </si>
  <si>
    <t>Pengadaan Perangkat Kerja Untuk Site PIKO; 4 Laptop [2 unit i7 &amp; 2 unit i5]</t>
  </si>
  <si>
    <t>001/BOQ/IM-IT/ASRI/IX/2025</t>
  </si>
  <si>
    <t>Perpanjangan Service Workdevice Periode 2026</t>
  </si>
  <si>
    <t>MONTH</t>
  </si>
  <si>
    <t>002/BOQ/IM-IT-OPS/ASRI/XI/2025</t>
  </si>
  <si>
    <t>18/11/2025</t>
  </si>
  <si>
    <t>IT Printer Sewa</t>
  </si>
  <si>
    <t>Renewal Sewa Mesin Foto Copy Untuk Site PIK Office</t>
  </si>
  <si>
    <t>001/BOQ/IM-IT-OPS/ASRI/XI/2025</t>
  </si>
  <si>
    <t>Elisa Kusumanita Sari
Dewi Kartika
Herman Cahyadi</t>
  </si>
  <si>
    <t>Pengadaan Perangkat Kerja Untuk Site PIKO;
3 [1 unit i7, 1 unit Mac &amp; 1 unit i5]</t>
  </si>
  <si>
    <t>003/BOQ/IM-IT-OPS/ASRI/XI/2025</t>
  </si>
  <si>
    <t>oo</t>
  </si>
  <si>
    <t>no_boq</t>
  </si>
  <si>
    <t>prihal</t>
  </si>
  <si>
    <t>Pengadaan Laptop Untuk Site PIK – Quarter 1</t>
  </si>
  <si>
    <t>nip_creator</t>
  </si>
  <si>
    <t>attachment_fullsign</t>
  </si>
  <si>
    <t>[PROCESS or FULLSIGN]</t>
  </si>
  <si>
    <t>no_wpr</t>
  </si>
  <si>
    <t>date_ship</t>
  </si>
  <si>
    <t>day</t>
  </si>
  <si>
    <t>ends</t>
  </si>
  <si>
    <t>SHIPPED (BOQ, WPR, PO, SHIPPED)</t>
  </si>
  <si>
    <t>BOQ-001-O99-04-2025-SDP1.05</t>
  </si>
  <si>
    <t>details</t>
  </si>
  <si>
    <t>QTY [4]</t>
  </si>
  <si>
    <t>name_creator</t>
  </si>
  <si>
    <t>attechment_boq</t>
  </si>
  <si>
    <t>FK from doc_boq column='no_boq'</t>
  </si>
  <si>
    <t>Join from no_boq on doc_boq</t>
  </si>
  <si>
    <t>attechment_wpr</t>
  </si>
  <si>
    <t>pt</t>
  </si>
  <si>
    <t>attachment_approved</t>
  </si>
  <si>
    <t>manual input *Unique *Primary Key</t>
  </si>
  <si>
    <t>FK from employees column='nip'</t>
  </si>
  <si>
    <t>Join from nip_creator on employees</t>
  </si>
  <si>
    <t>procurement_status</t>
  </si>
  <si>
    <t>FK from pt column='id_corp'</t>
  </si>
  <si>
    <t>attechment_po</t>
  </si>
  <si>
    <t>FK from doc_wpr column='no_wpr'</t>
  </si>
  <si>
    <t>Join from no_wpr on doc_wpr</t>
  </si>
  <si>
    <t>id_parts</t>
  </si>
  <si>
    <t>part_number</t>
  </si>
  <si>
    <t>description</t>
  </si>
  <si>
    <t>id_category_parts</t>
  </si>
  <si>
    <t>part_type</t>
  </si>
  <si>
    <t>uom</t>
  </si>
  <si>
    <t>ENUM
[pcs, kg, liter, set]</t>
  </si>
  <si>
    <t>min_stock</t>
  </si>
  <si>
    <t>is_critical</t>
  </si>
  <si>
    <t>reorder_point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</si>
</sst>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.00_-;\-* #,##0.00_-;_-* &quot;-&quot;??_-;_-@_-"/>
    <numFmt numFmtId="165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indexed="81"/>
      <name val="Tahoma"/>
      <family val="2"/>
    </font>
    <font>
      <sz val="10"/>
      <name val="Calibri"/>
      <family val="2"/>
      <scheme val="minor"/>
    </font>
    <font>
      <sz val="10"/>
      <color theme="1"/>
      <name val="Consolas"/>
      <family val="3"/>
    </font>
    <font>
      <sz val="10"/>
      <color theme="1"/>
      <name val="Sitka Display"/>
    </font>
    <font>
      <sz val="10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ptos Narrow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volini"/>
      <family val="4"/>
    </font>
    <font>
      <b/>
      <sz val="11"/>
      <color rgb="FFFFFF00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rgb="FFADADA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0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4" fillId="0" borderId="1" xfId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65" fontId="4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164" fontId="4" fillId="2" borderId="0" xfId="1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3" borderId="0" xfId="0" applyFill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49" fontId="4" fillId="4" borderId="0" xfId="0" applyNumberFormat="1" applyFont="1" applyFill="1" applyAlignment="1">
      <alignment horizontal="left" vertical="center"/>
    </xf>
    <xf numFmtId="164" fontId="4" fillId="4" borderId="0" xfId="1" applyFont="1" applyFill="1" applyAlignment="1">
      <alignment horizontal="center" vertical="center"/>
    </xf>
    <xf numFmtId="1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right" vertical="center"/>
    </xf>
    <xf numFmtId="0" fontId="4" fillId="2" borderId="8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10" fontId="10" fillId="0" borderId="1" xfId="2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0" fontId="10" fillId="0" borderId="8" xfId="2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4" fillId="0" borderId="5" xfId="0" quotePrefix="1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41" fontId="4" fillId="0" borderId="1" xfId="3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14" fontId="15" fillId="0" borderId="6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14" fontId="4" fillId="0" borderId="8" xfId="0" applyNumberFormat="1" applyFont="1" applyBorder="1" applyAlignment="1">
      <alignment horizontal="center" vertical="center"/>
    </xf>
    <xf numFmtId="41" fontId="4" fillId="0" borderId="8" xfId="3" applyFont="1" applyBorder="1" applyAlignment="1">
      <alignment vertical="center"/>
    </xf>
    <xf numFmtId="14" fontId="4" fillId="0" borderId="8" xfId="0" applyNumberFormat="1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14" fontId="15" fillId="0" borderId="9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1" xfId="0" applyBorder="1"/>
    <xf numFmtId="14" fontId="0" fillId="0" borderId="11" xfId="0" applyNumberFormat="1" applyBorder="1"/>
    <xf numFmtId="0" fontId="17" fillId="7" borderId="0" xfId="0" applyFont="1" applyFill="1" applyAlignment="1">
      <alignment horizontal="center" vertical="center"/>
    </xf>
    <xf numFmtId="0" fontId="18" fillId="3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9" borderId="0" xfId="0" applyFont="1" applyFill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14" fontId="12" fillId="0" borderId="0" xfId="0" applyNumberFormat="1" applyFont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2" borderId="12" xfId="0" applyFill="1" applyBorder="1" applyAlignment="1">
      <alignment horizontal="center"/>
    </xf>
    <xf numFmtId="0" fontId="17" fillId="7" borderId="0" xfId="0" applyFont="1" applyFill="1" applyAlignment="1">
      <alignment horizontal="center" vertical="center"/>
    </xf>
  </cellXfs>
  <cellStyles count="4">
    <cellStyle name="Comma" xfId="1" builtinId="3"/>
    <cellStyle name="Comma [0] 2" xfId="3" xr:uid="{48A5D7F1-4E6C-4349-9BA8-5B19C0751B30}"/>
    <cellStyle name="Normal" xfId="0" builtinId="0"/>
    <cellStyle name="Percent" xfId="2" builtinId="5"/>
  </cellStyles>
  <dxfs count="372"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lightUp">
          <fgColor rgb="FFFF0000"/>
        </patternFill>
      </fill>
    </dxf>
    <dxf>
      <font>
        <color rgb="FFC00000"/>
      </font>
      <fill>
        <patternFill patternType="lightUp">
          <fgColor rgb="FFFF0000"/>
        </patternFill>
      </fill>
    </dxf>
    <dxf>
      <font>
        <color rgb="FFC00000"/>
      </font>
      <fill>
        <patternFill patternType="gray0625">
          <fgColor rgb="FFC00000"/>
        </patternFill>
      </fill>
    </dxf>
    <dxf>
      <font>
        <color rgb="FFC00000"/>
      </font>
      <fill>
        <patternFill patternType="gray0625">
          <fgColor rgb="FFC00000"/>
        </patternFill>
      </fill>
    </dxf>
    <dxf>
      <font>
        <color rgb="FFC00000"/>
      </font>
      <fill>
        <patternFill patternType="gray0625">
          <fgColor rgb="FFC00000"/>
        </patternFill>
      </fill>
    </dxf>
    <dxf>
      <font>
        <color rgb="FFC00000"/>
      </font>
      <fill>
        <patternFill patternType="lightUp">
          <fgColor rgb="FFFF00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8"/>
      </font>
      <fill>
        <patternFill>
          <bgColor theme="4" tint="0.59996337778862885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color rgb="FFC00000"/>
      </font>
      <fill>
        <patternFill patternType="gray0625">
          <fgColor rgb="FFC00000"/>
        </patternFill>
      </fill>
    </dxf>
    <dxf>
      <font>
        <color rgb="FFC00000"/>
      </font>
      <fill>
        <patternFill patternType="gray0625">
          <fgColor rgb="FFC00000"/>
        </patternFill>
      </fill>
    </dxf>
    <dxf>
      <font>
        <color rgb="FFC00000"/>
      </font>
      <fill>
        <patternFill patternType="gray0625">
          <fgColor rgb="FFC00000"/>
        </patternFill>
      </fill>
    </dxf>
    <dxf>
      <font>
        <color rgb="FFC00000"/>
      </font>
      <fill>
        <patternFill patternType="gray0625">
          <fgColor rgb="FFC00000"/>
        </patternFill>
      </fill>
    </dxf>
    <dxf>
      <font>
        <color rgb="FFC00000"/>
      </font>
      <fill>
        <patternFill patternType="gray0625">
          <fgColor rgb="FFC00000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19" formatCode="dd/mm/yy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dd/mm/yyyy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dd/mm/yyyy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top style="thin">
          <color rgb="FFADADAD"/>
        </top>
      </border>
    </dxf>
    <dxf>
      <border diagonalUp="0" diagonalDown="0">
        <left style="thin">
          <color rgb="FFADADAD"/>
        </left>
        <right style="thin">
          <color rgb="FFADADAD"/>
        </right>
        <top style="thin">
          <color rgb="FFADADAD"/>
        </top>
        <bottom style="thin">
          <color rgb="FFADADAD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vertical="center" textRotation="0" wrapText="0" indent="0" justifyLastLine="0" shrinkToFit="0" readingOrder="0"/>
    </dxf>
    <dxf>
      <border>
        <bottom style="thin">
          <color rgb="FFADADAD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/>
        <bottom/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9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9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9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border>
        <top style="thin">
          <color rgb="FFAEAAAA"/>
        </top>
      </border>
    </dxf>
    <dxf>
      <border diagonalUp="0" diagonalDown="0">
        <left style="thin">
          <color rgb="FFAEAAAA"/>
        </left>
        <right style="thin">
          <color rgb="FFAEAAAA"/>
        </right>
        <top style="thin">
          <color rgb="FFAEAAAA"/>
        </top>
        <bottom style="thin">
          <color rgb="FFAEAAAA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wrapText="0" indent="0" justifyLastLine="0" shrinkToFit="0" readingOrder="0"/>
    </dxf>
    <dxf>
      <border>
        <bottom style="thin">
          <color rgb="FFAE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/>
        <bottom/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>
          <fgColor indexed="64"/>
          <bgColor rgb="FFFFFF0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top style="thin">
          <color theme="2" tint="-0.249977111117893"/>
        </top>
      </border>
    </dxf>
    <dxf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>
        <bottom style="thin">
          <color theme="2" tint="-0.249977111117893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/>
        <bottom/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itka Display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itka Display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itka Display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border>
        <top style="thin">
          <color theme="2" tint="-0.249977111117893"/>
        </top>
      </border>
    </dxf>
    <dxf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>
        <bottom style="thin">
          <color theme="2" tint="-0.249977111117893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/>
        <bottom/>
        <vertical style="thin">
          <color theme="2" tint="-0.249977111117893"/>
        </vertical>
        <horizontal style="thin">
          <color theme="2" tint="-0.249977111117893"/>
        </horizontal>
      </border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563925</xdr:colOff>
      <xdr:row>3</xdr:row>
      <xdr:rowOff>187025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6953B7-3B16-4666-9CCA-94E5B4A0C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90500"/>
          <a:ext cx="563925" cy="5680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BC161B-FB83-4B4D-B978-660B8F9994CF}" name="EMPLOYEE" displayName="EMPLOYEE" ref="B4:Z29" totalsRowCount="1" headerRowDxfId="314" dataDxfId="313">
  <autoFilter ref="B4:Z28" xr:uid="{09BC161B-FB83-4B4D-B978-660B8F9994CF}"/>
  <tableColumns count="25">
    <tableColumn id="1" xr3:uid="{0F195936-8F10-48FD-8EBB-0FF642FFFC9C}" name="nip" dataDxfId="312" totalsRowDxfId="311"/>
    <tableColumn id="2" xr3:uid="{D7284AA0-91E4-464C-B125-D6C43549299F}" name="name" dataDxfId="310" totalsRowDxfId="309"/>
    <tableColumn id="3" xr3:uid="{9A77D9CA-1C3F-4594-80C6-CFC9DCE63150}" name="id_level" dataDxfId="308" totalsRowDxfId="307"/>
    <tableColumn id="22" xr3:uid="{AE41FC1D-501B-4C80-B129-A91B35AB7905}" name="position" dataDxfId="306" totalsRowDxfId="305">
      <calculatedColumnFormula>_xlfn.IFNA(VLOOKUP(EMPLOYEE[[#This Row],[id_level]],LEVEL[],2,0),"")</calculatedColumnFormula>
    </tableColumn>
    <tableColumn id="15" xr3:uid="{573118D6-F452-41C1-AEFD-11FA12E15719}" name="salary" totalsRowFunction="sum" dataDxfId="304" totalsRowDxfId="303" dataCellStyle="Comma"/>
    <tableColumn id="14" xr3:uid="{D3B91F6A-5FA7-4E6C-95F0-43E3999FB2F8}" name="id_so" dataDxfId="302" totalsRowDxfId="301">
      <calculatedColumnFormula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calculatedColumnFormula>
    </tableColumn>
    <tableColumn id="4" xr3:uid="{2093F2BA-186B-4341-93C4-5EFD00B057D1}" name="id_dir" dataDxfId="300" totalsRowDxfId="299"/>
    <tableColumn id="24" xr3:uid="{6E8C622B-54CE-4AF4-B5BD-375FB5AD20E8}" name="directorate" dataDxfId="298" totalsRowDxfId="297">
      <calculatedColumnFormula>_xlfn.IFNA(VLOOKUP(EMPLOYEE[[#This Row],[id_dir]],DIRECTORATE[],2,0),"")</calculatedColumnFormula>
    </tableColumn>
    <tableColumn id="5" xr3:uid="{DFFEEF59-A5EB-4BB6-BAD7-80947EB97AF4}" name="id_div" dataDxfId="296" totalsRowDxfId="295"/>
    <tableColumn id="25" xr3:uid="{5120CB66-B4EA-4E70-8921-910BE186B80D}" name="division" dataDxfId="294" totalsRowDxfId="293">
      <calculatedColumnFormula>_xlfn.IFNA(VLOOKUP(EMPLOYEE[[#This Row],[id_div]],DIVISION[],2,0),"")</calculatedColumnFormula>
    </tableColumn>
    <tableColumn id="6" xr3:uid="{ECBCA337-B4E5-4A7A-AB8F-500ADD6122CB}" name="id_dep" dataDxfId="292" totalsRowDxfId="291"/>
    <tableColumn id="26" xr3:uid="{B26CA2C2-EDD2-41A8-A83A-3D4A0C80271A}" name="departement" dataDxfId="290" totalsRowDxfId="289">
      <calculatedColumnFormula>_xlfn.IFNA(VLOOKUP(EMPLOYEE[[#This Row],[id_dep]],DIVISION5[],2,0),"")</calculatedColumnFormula>
    </tableColumn>
    <tableColumn id="7" xr3:uid="{FA99E971-27E5-475F-A9D2-83312702F397}" name="id_sub" dataDxfId="288" totalsRowDxfId="287"/>
    <tableColumn id="27" xr3:uid="{D537AA3E-B883-4221-B968-DE601414D688}" name="sub_departement" dataDxfId="286" totalsRowDxfId="285">
      <calculatedColumnFormula>_xlfn.IFNA(VLOOKUP(EMPLOYEE[[#This Row],[id_sub]],DIVISION56[],2,0),"")</calculatedColumnFormula>
    </tableColumn>
    <tableColumn id="8" xr3:uid="{FD61E79D-6834-4F0F-B0BD-A8DC4BA47663}" name="id_buss" dataDxfId="284" totalsRowDxfId="283"/>
    <tableColumn id="12" xr3:uid="{6AE85E7B-0C66-43D4-A529-974133D18D79}" name="id_site" dataDxfId="282" totalsRowDxfId="281"/>
    <tableColumn id="9" xr3:uid="{230C97FF-460D-495A-AB7A-16A3FEB8CC02}" name="id_corp" dataDxfId="280" totalsRowDxfId="279"/>
    <tableColumn id="11" xr3:uid="{DFE60580-6E09-4D0E-8167-976D5B1721C1}" name="date_hiring" dataDxfId="278" totalsRowDxfId="277"/>
    <tableColumn id="17" xr3:uid="{023E49F0-EEB8-4870-9F2D-82BAE303DB22}" name="convertdh" dataDxfId="276" totalsRowDxfId="275">
      <calculatedColumnFormula>TEXT(EMPLOYEE[[#This Row],[date_hiring]],"YYYY-MM-DD")</calculatedColumnFormula>
    </tableColumn>
    <tableColumn id="13" xr3:uid="{F7AE9650-E001-4E8C-A4BB-415A0201712F}" name="date_resign" dataDxfId="274" totalsRowDxfId="273"/>
    <tableColumn id="18" xr3:uid="{972A1B18-9CB9-4F3B-95D0-442B699DD15D}" name="convertdr" dataDxfId="272" totalsRowDxfId="271">
      <calculatedColumnFormula>TEXT(EMPLOYEE[[#This Row],[date_resign]],"YYYY-MM-DD")</calculatedColumnFormula>
    </tableColumn>
    <tableColumn id="10" xr3:uid="{9C517177-0F28-462E-9C85-9627CBC90F85}" name="status" dataDxfId="270" totalsRowDxfId="269">
      <calculatedColumnFormula>IF(EMPLOYEE[[#This Row],[date_resign]]="NULL","Employee","Resigned")</calculatedColumnFormula>
    </tableColumn>
    <tableColumn id="20" xr3:uid="{2C23AEDA-25D2-4ED2-9933-814F82282412}" name="no_tlp" dataDxfId="268" totalsRowDxfId="267"/>
    <tableColumn id="19" xr3:uid="{F2FF21BE-B03F-41B4-9D04-C8710E275BDF}" name="email" dataDxfId="266" totalsRowDxfId="265"/>
    <tableColumn id="21" xr3:uid="{D6E4722A-2254-4667-BFC4-20EE937533AE}" name="ad" dataDxfId="264" totalsRowDxfId="2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96FB5-B361-4346-921E-8D1F24D188BC}" name="LEVEL" displayName="LEVEL" ref="B4:D47" totalsRowShown="0" headerRowDxfId="262" dataDxfId="261">
  <autoFilter ref="B4:D47" xr:uid="{D3D96FB5-B361-4346-921E-8D1F24D188BC}"/>
  <tableColumns count="3">
    <tableColumn id="1" xr3:uid="{12C34D01-3EFE-4F9A-A58F-F17B5EE1731F}" name="id_level" dataDxfId="260"/>
    <tableColumn id="2" xr3:uid="{0BA60ABC-C528-4AEC-A6A4-618E1449BF73}" name="level" dataDxfId="259"/>
    <tableColumn id="3" xr3:uid="{54E21F98-CF90-4EEC-8E8D-34E9083B083D}" name="group" dataDxfId="258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CBE2388-38EB-5B41-986B-62D023C646BE}" name="Table20" displayName="Table20" ref="F8:J60" totalsRowShown="0" dataDxfId="257">
  <autoFilter ref="F8:J60" xr:uid="{1CBE2388-38EB-5B41-986B-62D023C646BE}"/>
  <tableColumns count="5">
    <tableColumn id="1" xr3:uid="{57622CB7-8A46-DD47-A68F-928C0A8C376C}" name="SUB-DEPARTEMENT" dataDxfId="256"/>
    <tableColumn id="2" xr3:uid="{930B9499-6A08-C640-A3B4-2783C7AEF39A}" name="DEPARTEMENT" dataDxfId="255"/>
    <tableColumn id="3" xr3:uid="{59A3BFD7-A0E6-BF48-9CB4-02A862793E6C}" name="DIVISION" dataDxfId="254"/>
    <tableColumn id="4" xr3:uid="{211A7327-A3A4-8D44-A052-AA86AB43DBDF}" name="DIRECTORATE" dataDxfId="253"/>
    <tableColumn id="5" xr3:uid="{BE36AF97-AB4B-9546-B082-15B8161FB867}" name="MARKING" dataDxfId="25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72C00B-364C-4E5C-8B53-1EABE8C0419D}" name="DIRECTORATE" displayName="DIRECTORATE" ref="B4:D24" totalsRowShown="0" headerRowDxfId="251" dataDxfId="250">
  <autoFilter ref="B4:D24" xr:uid="{D3D96FB5-B361-4346-921E-8D1F24D188BC}"/>
  <tableColumns count="3">
    <tableColumn id="1" xr3:uid="{B328E269-85B2-466B-A238-B9F81160D15C}" name="id_dir" dataDxfId="249"/>
    <tableColumn id="2" xr3:uid="{BEB5B35C-C5D5-448F-83A5-5CC48006C045}" name="directorate" dataDxfId="248"/>
    <tableColumn id="3" xr3:uid="{84F868C0-C4DB-4388-942F-7B449037C50C}" name="group" dataDxfId="247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F799F9-A6E0-4916-977B-9199B3D5A072}" name="DIVISION" displayName="DIVISION" ref="B4:D17" totalsRowShown="0" headerRowDxfId="246" dataDxfId="245">
  <autoFilter ref="B4:D17" xr:uid="{D3D96FB5-B361-4346-921E-8D1F24D188BC}"/>
  <tableColumns count="3">
    <tableColumn id="1" xr3:uid="{34AB4340-ED36-438E-A749-249F6C1FF670}" name="id_div" dataDxfId="244"/>
    <tableColumn id="2" xr3:uid="{257265AA-66F3-40D8-9C75-630E6AD81605}" name="division" dataDxfId="243"/>
    <tableColumn id="3" xr3:uid="{F2ED4A8F-FC1E-4F0C-B91A-A520F287502B}" name="id_dir" dataDxfId="242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C0D700-E368-4A54-BAC9-35647DBB3DF1}" name="DIVISION5" displayName="DIVISION5" ref="B4:D24" totalsRowShown="0" headerRowDxfId="241" dataDxfId="240">
  <autoFilter ref="B4:D24" xr:uid="{D3D96FB5-B361-4346-921E-8D1F24D188BC}"/>
  <tableColumns count="3">
    <tableColumn id="1" xr3:uid="{CB8A7843-8C97-4C1C-A099-6724ACBE78BA}" name="id_dep" dataDxfId="239"/>
    <tableColumn id="2" xr3:uid="{C321CC6B-7826-4E1E-AB85-98EA6290CB10}" name="departement" dataDxfId="238"/>
    <tableColumn id="3" xr3:uid="{4BA2E7FB-202C-45FB-AB4C-ED0EC8727F2F}" name="id_div" dataDxfId="237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F73047-D10A-45CA-82D5-DDE281994F98}" name="DIVISION56" displayName="DIVISION56" ref="B4:D35" totalsRowShown="0" headerRowDxfId="236" dataDxfId="235">
  <autoFilter ref="B4:D35" xr:uid="{D3D96FB5-B361-4346-921E-8D1F24D188BC}"/>
  <tableColumns count="3">
    <tableColumn id="1" xr3:uid="{7E95CC08-C4D9-47F7-9C50-691DED43F082}" name="id._sub" dataDxfId="234"/>
    <tableColumn id="2" xr3:uid="{9AA2FA8F-EE4B-4594-A712-43CBC9363C92}" name="sub-departement" dataDxfId="233"/>
    <tableColumn id="9" xr3:uid="{36C01235-B7C4-44FF-9905-FA8A212A46C3}" name="id_dep" dataDxfId="232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A8941E-E5A1-4096-993F-D8715A2C3A67}" name="DIVISION7" displayName="DIVISION7" ref="B4:C11" totalsRowShown="0" headerRowDxfId="231" dataDxfId="230">
  <autoFilter ref="B4:C11" xr:uid="{D3D96FB5-B361-4346-921E-8D1F24D188BC}"/>
  <tableColumns count="2">
    <tableColumn id="1" xr3:uid="{AA1884D4-78EE-4866-877B-30305F82989E}" name="id_buss" dataDxfId="229"/>
    <tableColumn id="2" xr3:uid="{9E227A5F-988C-4D5F-86E2-3C5713E35986}" name="business_unit" dataDxfId="228"/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6E5B4D-5AC4-4D88-82A9-24F0426A816E}" name="DIVISION78" displayName="DIVISION78" ref="B4:D15" totalsRowShown="0" headerRowDxfId="227" dataDxfId="226">
  <autoFilter ref="B4:D15" xr:uid="{D3D96FB5-B361-4346-921E-8D1F24D188BC}"/>
  <tableColumns count="3">
    <tableColumn id="1" xr3:uid="{ACB8A772-2B86-458C-A42E-AE1D3935EA89}" name="id_corp" dataDxfId="225"/>
    <tableColumn id="2" xr3:uid="{94E63E15-3EBC-4BD4-BE65-A6599CCDBDF3}" name="company" dataDxfId="224"/>
    <tableColumn id="3" xr3:uid="{A3581B8E-D5ED-4E93-9E87-FB6BDD6279E1}" name="site" dataDxfId="223"/>
  </tableColumns>
  <tableStyleInfo name="TableStyleLight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66C8465-2344-4142-8765-D13F9576B0BC}" name="db_site" displayName="db_site" ref="B6:K27" totalsRowShown="0" headerRowDxfId="222" dataDxfId="220" headerRowBorderDxfId="221" tableBorderDxfId="219" totalsRowBorderDxfId="218">
  <autoFilter ref="B6:K27" xr:uid="{74766931-8F5A-4601-92A8-7A46B91277E6}"/>
  <tableColumns count="10">
    <tableColumn id="1" xr3:uid="{54E94D27-40A9-4B2C-A8D8-CA07B46F0D5D}" name="id_site" dataDxfId="217"/>
    <tableColumn id="2" xr3:uid="{8F9F1B41-1920-4FC4-AE01-E6F3C2035E9C}" name="site" dataDxfId="216"/>
    <tableColumn id="3" xr3:uid="{0AED3334-4195-42EF-B2DF-340F661C7207}" name="business_unit" dataDxfId="215"/>
    <tableColumn id="10" xr3:uid="{FFAFC337-32DE-470C-8CF2-F0BB5ECCDB73}" name="id_corp" dataDxfId="214"/>
    <tableColumn id="4" xr3:uid="{979ABB10-4A5F-4BA2-A01E-6A0AF0817D3C}" name="country" dataDxfId="213"/>
    <tableColumn id="5" xr3:uid="{B54EB208-D9DF-4B70-8A2C-A028AE80A4EF}" name="provincy" dataDxfId="212"/>
    <tableColumn id="6" xr3:uid="{1C1770AA-4536-433A-A9AB-FF1579D1560D}" name="city" dataDxfId="211"/>
    <tableColumn id="7" xr3:uid="{DD3AA183-3B31-4BBA-9749-D46F83C24EE7}" name="address" dataDxfId="210"/>
    <tableColumn id="8" xr3:uid="{575C6D37-0355-4C53-B13A-FCFD3772A1C8}" name="url_maps" dataDxfId="209"/>
    <tableColumn id="9" xr3:uid="{D0357DE6-4697-4AD2-AAD3-47043335D299}" name="QUERY" dataDxfId="208">
      <calculatedColumnFormula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calculatedColumnFormula>
    </tableColumn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52DAF6-78CF-4875-B3AC-E22C2A7633BA}" name="LEVEL10" displayName="LEVEL10" ref="B4:H22" totalsRowShown="0" headerRowDxfId="207" dataDxfId="206">
  <autoFilter ref="B4:H22" xr:uid="{D3D96FB5-B361-4346-921E-8D1F24D188BC}"/>
  <tableColumns count="7">
    <tableColumn id="1" xr3:uid="{C13C9774-4074-486A-9F5E-078B81D4A027}" name="email" dataDxfId="205"/>
    <tableColumn id="3" xr3:uid="{7BA90D09-793F-40BF-A5AE-93F47B9DDB91}" name="nip" dataDxfId="204"/>
    <tableColumn id="2" xr3:uid="{85D94A5F-506D-4C33-9D92-0D0CF4C94438}" name="domain" dataDxfId="203">
      <calculatedColumnFormula>_xlfn.IFNA(_xlfn.TEXTAFTER(LEVEL10[[#This Row],[email]],"@"),"NULL")</calculatedColumnFormula>
    </tableColumn>
    <tableColumn id="5" xr3:uid="{E84ED1C5-D5DB-47A6-B78B-BC7716F70D9E}" name="function" dataDxfId="202"/>
    <tableColumn id="6" xr3:uid="{94FF84EE-26F8-4B49-9966-9417C900AC1D}" name="type" dataDxfId="201"/>
    <tableColumn id="7" xr3:uid="{48346016-48CF-4505-83F9-CE489092F3AF}" name="license_type" dataDxfId="200"/>
    <tableColumn id="9" xr3:uid="{190C4297-2500-49A9-9154-F598305DEE2E}" name="mfa" dataDxfId="199"/>
  </tableColumns>
  <tableStyleInfo name="TableStyleLight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2A7D3EC-1C52-49DF-86F5-F176A8F38476}" name="LEVEL1011" displayName="LEVEL1011" ref="B4:G21" totalsRowShown="0" headerRowDxfId="198" dataDxfId="197">
  <autoFilter ref="B4:G21" xr:uid="{D3D96FB5-B361-4346-921E-8D1F24D188BC}"/>
  <tableColumns count="6">
    <tableColumn id="1" xr3:uid="{E7BFE048-7C43-4025-969F-68DDD435421D}" name="ad" dataDxfId="196"/>
    <tableColumn id="2" xr3:uid="{1EF0F211-022F-47E0-A4FD-F7AB7FDF7E47}" name="password" dataDxfId="195"/>
    <tableColumn id="3" xr3:uid="{92F610F6-57DB-45B9-BB31-582B25FA26C5}" name="nip" dataDxfId="194"/>
    <tableColumn id="10" xr3:uid="{257F5D51-8CF5-49A7-8486-3293BBCB442F}" name="access" dataDxfId="193"/>
    <tableColumn id="5" xr3:uid="{625D481E-4142-411E-AD56-959F8D72923D}" name="create_date" dataDxfId="192"/>
    <tableColumn id="6" xr3:uid="{403B0525-1E1E-4B66-AAD1-F217E3DDC712}" name="modified_date" dataDxfId="191"/>
  </tableColumns>
  <tableStyleInfo name="TableStyleLight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1D9E3C7-5B08-4EF6-851F-81E73ADAADFC}" name="ME" displayName="ME" ref="B4:E8" totalsRowShown="0" headerRowDxfId="190" dataDxfId="189">
  <autoFilter ref="B4:E8" xr:uid="{21D9E3C7-5B08-4EF6-851F-81E73ADAADFC}"/>
  <tableColumns count="4">
    <tableColumn id="1" xr3:uid="{1316489C-607C-4109-9715-19057FA999EF}" name="id_maintenance" dataDxfId="188"/>
    <tableColumn id="17" xr3:uid="{74B3AC17-B963-4A7C-AD47-91EBD96AA97F}" name="maintenance" dataDxfId="187"/>
    <tableColumn id="2" xr3:uid="{A64474E4-7185-40EA-8D24-A20A359C01B7}" name="time_desc" dataDxfId="186"/>
    <tableColumn id="21" xr3:uid="{D3072A10-0CFB-467E-8D4A-C921B443FFCA}" name="characteristic" dataDxfId="185"/>
  </tableColumns>
  <tableStyleInfo name="TableStyleLight1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E151E66-307D-4FCA-8FA1-2721A1D3233A}" name="TASK" displayName="TASK" ref="B4:F8" totalsRowShown="0" headerRowDxfId="184" dataDxfId="183">
  <autoFilter ref="B4:F8" xr:uid="{DE151E66-307D-4FCA-8FA1-2721A1D3233A}"/>
  <tableColumns count="5">
    <tableColumn id="1" xr3:uid="{6DBBFE03-86A2-4263-9824-AA930E756F3C}" name="id_task" dataDxfId="182">
      <calculatedColumnFormula>TASK[[#This Row],[id_maintenance2]]&amp;TEXT(TASK[[#This Row],[schedule_task]],"YYMMDD")</calculatedColumnFormula>
    </tableColumn>
    <tableColumn id="17" xr3:uid="{FFDB965B-9950-4DC6-91C3-1DFC1C857194}" name="id_maintenance2" dataDxfId="181"/>
    <tableColumn id="23" xr3:uid="{A18F9BD8-9EAD-4E52-8EC6-D2A736C51482}" name="maintenance" dataDxfId="180">
      <calculatedColumnFormula>_xlfn.IFNA(VLOOKUP(TASK[[#This Row],[id_maintenance2]],ME[[id_maintenance]:[characteristic]],2,0),"NA")</calculatedColumnFormula>
    </tableColumn>
    <tableColumn id="2" xr3:uid="{DEA9A8E6-CB0E-418A-A994-E808146FE47E}" name="schedule_task" dataDxfId="179"/>
    <tableColumn id="22" xr3:uid="{4FCBACC4-B4D0-483E-B324-9718729C9BAA}" name="sch_conv" dataDxfId="178">
      <calculatedColumnFormula>TEXT(TASK[[#This Row],[schedule_task]],"YYYY-MM-DD")</calculatedColumnFormula>
    </tableColumn>
  </tableColumns>
  <tableStyleInfo name="TableStyleLight1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E2DD66C-AD86-4CD9-8B76-CF04ABE802C7}" name="TASK19" displayName="TASK19" ref="B4:G8" totalsRowShown="0" headerRowDxfId="177" dataDxfId="176">
  <autoFilter ref="B4:G8" xr:uid="{DE151E66-307D-4FCA-8FA1-2721A1D3233A}"/>
  <tableColumns count="6">
    <tableColumn id="1" xr3:uid="{67815836-8F95-4ACF-9518-2E224023EDBF}" name="id_wh" dataDxfId="175">
      <calculatedColumnFormula>"WH-"&amp;TASK19[[#This Row],[wh_site]]&amp;"-"&amp;TASK19[[#This Row],[no]]</calculatedColumnFormula>
    </tableColumn>
    <tableColumn id="24" xr3:uid="{05BDE0D7-AABA-4870-A6C6-E8D3AA01A953}" name="no" dataDxfId="174"/>
    <tableColumn id="17" xr3:uid="{911C163B-4AF1-4C0F-A7B3-5FACB38A7DA3}" name="id_asset" dataDxfId="173"/>
    <tableColumn id="23" xr3:uid="{42F6C514-F81C-4ECD-BF7C-4A2B6822AD17}" name="wh_site" dataDxfId="172"/>
    <tableColumn id="2" xr3:uid="{4CD19B37-A848-4D1D-879F-A1D6F7B48370}" name="status" dataDxfId="171"/>
    <tableColumn id="22" xr3:uid="{656A4D04-AE75-4DEC-BACC-0EC299A3E48F}" name="status_available" dataDxfId="170">
      <calculatedColumnFormula>IF(OR(TASK19[[#This Row],[status]]="IN STORE",TASK19[[#This Row],[status]]="IN REPAIR"),1,0)</calculatedColumnFormula>
    </tableColumn>
  </tableColumns>
  <tableStyleInfo name="TableStyleLight1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A5247BF-3B6E-43C4-8A8A-AC2D3FECBBBB}" name="LEVEL101114" displayName="LEVEL101114" ref="B4:S17" totalsRowShown="0" headerRowDxfId="169" dataDxfId="168">
  <autoFilter ref="B4:S17" xr:uid="{1A5247BF-3B6E-43C4-8A8A-AC2D3FECBBBB}"/>
  <tableColumns count="18">
    <tableColumn id="1" xr3:uid="{636C0CB9-BC33-4658-8EC6-7DB498991704}" name="barcode" dataDxfId="167"/>
    <tableColumn id="27" xr3:uid="{A7F299F6-FF3B-4D90-BFA4-B045315E3BC8}" name="id_cat_device" dataDxfId="166"/>
    <tableColumn id="25" xr3:uid="{9A58CBAC-D78D-4D22-A548-F6EF822171B9}" name="assgined_to" dataDxfId="165"/>
    <tableColumn id="20" xr3:uid="{23D266A1-B9AB-4F68-8AC7-1A038C282C4C}" name="id_site" dataDxfId="164"/>
    <tableColumn id="17" xr3:uid="{3D7471EE-CCCD-4F4A-9950-D44864ED4AA3}" name="no_pr" dataDxfId="163"/>
    <tableColumn id="2" xr3:uid="{369D7CC9-D049-4B97-896D-19500AE4A74A}" name="no_po" dataDxfId="162"/>
    <tableColumn id="3" xr3:uid="{8AD1AC53-0A1F-4EF7-8E3F-02A7C3D2CEDD}" name="date_pr" dataDxfId="161"/>
    <tableColumn id="21" xr3:uid="{DFB14DC9-921A-4974-9CCD-2903CA9465ED}" name="convdpr" dataDxfId="160">
      <calculatedColumnFormula>IF(LEVEL101114[[#This Row],[date_pr]]&lt;&gt;"-",TEXT(LEVEL101114[[#This Row],[date_pr]],"YYYY-MM-DD"),"-")</calculatedColumnFormula>
    </tableColumn>
    <tableColumn id="10" xr3:uid="{FF00464D-8EBB-42F7-A665-2177F30D2192}" name="date_po" dataDxfId="159"/>
    <tableColumn id="22" xr3:uid="{39717A8E-71A2-47AE-958D-8B5FB2C65D8E}" name="convpo" dataDxfId="158">
      <calculatedColumnFormula>IF(LEVEL101114[[#This Row],[date_po]]&lt;&gt;"-",TEXT(LEVEL101114[[#This Row],[date_po]],"YYYY-MM-DD"),"-")</calculatedColumnFormula>
    </tableColumn>
    <tableColumn id="23" xr3:uid="{221BF0CC-779F-44CB-8BA0-4DCEA6726D03}" name="date_shipping" dataDxfId="157"/>
    <tableColumn id="24" xr3:uid="{9AC2B92F-B8EC-42BA-8D1C-06D559D7A400}" name="convshp" dataDxfId="156">
      <calculatedColumnFormula>IF(LEVEL101114[[#This Row],[date_shipping]]&lt;&gt;"-",TEXT(LEVEL101114[[#This Row],[date_shipping]],"YYYY-MM-DD"),"-")</calculatedColumnFormula>
    </tableColumn>
    <tableColumn id="26" xr3:uid="{23A89B79-86ED-463A-8E5E-69BE9570083B}" name="recipient_nip" dataDxfId="155"/>
    <tableColumn id="11" xr3:uid="{461CC160-C2B2-4984-BEE4-F0FE6EC2C1AE}" name="price" dataDxfId="154" dataCellStyle="Comma"/>
    <tableColumn id="12" xr3:uid="{0279AB21-C082-4622-BAE0-748C2CD5B108}" name="qty" dataDxfId="153"/>
    <tableColumn id="5" xr3:uid="{785E401E-4A08-4B26-AAF5-448A521F717C}" name="date_acquisition" dataDxfId="152"/>
    <tableColumn id="19" xr3:uid="{6CBB6961-A360-400E-92E4-89D3CE1F1B95}" name="convacq" dataDxfId="151">
      <calculatedColumnFormula>IF(LEVEL101114[[#This Row],[date_acquisition]]&lt;&gt;"-",TEXT(LEVEL101114[[#This Row],[date_acquisition]],"YYYY-MM-DD"),"-")</calculatedColumnFormula>
    </tableColumn>
    <tableColumn id="8" xr3:uid="{000A909D-9DDB-46D8-BDF2-714132EE36DD}" name="status" dataDxfId="150">
      <calculatedColumnFormula>IF(COUNTBLANK(LEVEL101114[[#This Row],[barcode]:[convacq]])&gt;0,"VALIDATE [IN PROGRESS]","VALIDATE [DONE]")</calculatedColumnFormula>
    </tableColumn>
  </tableColumns>
  <tableStyleInfo name="TableStyleLight1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A8B7513-BF7E-4D8F-BEB3-2E11E5CAA5F8}" name="CAT_ASSETS" displayName="CAT_ASSETS" ref="B4:C12" totalsRowShown="0" headerRowDxfId="149" dataDxfId="148">
  <autoFilter ref="B4:C12" xr:uid="{7DE198AD-F7CD-4D8B-8B06-149D91FCE15F}"/>
  <tableColumns count="2">
    <tableColumn id="1" xr3:uid="{C17AFE46-103C-4803-923E-15FBA8E7FDD3}" name="id_cat" dataDxfId="147"/>
    <tableColumn id="17" xr3:uid="{3315B832-DF46-48DC-8A5A-B651BBEF309F}" name="category" dataDxfId="146"/>
  </tableColumns>
  <tableStyleInfo name="TableStyleLight1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DE198AD-F7CD-4D8B-8B06-149D91FCE15F}" name="CAT_DEVICE" displayName="CAT_DEVICE" ref="B4:G56" totalsRowShown="0" headerRowDxfId="145" dataDxfId="144">
  <autoFilter ref="B4:G56" xr:uid="{7DE198AD-F7CD-4D8B-8B06-149D91FCE15F}"/>
  <tableColumns count="6">
    <tableColumn id="1" xr3:uid="{4994FA2A-D414-4BB3-A38E-5B2ADF2C650B}" name="id_cat_device" dataDxfId="143"/>
    <tableColumn id="17" xr3:uid="{9834675F-893C-41FA-BFA5-4DFA70B3F077}" name="item" dataDxfId="142"/>
    <tableColumn id="6" xr3:uid="{144D4BF8-774A-403E-ABA4-621FF453AE9F}" name="id_cat" dataDxfId="141">
      <calculatedColumnFormula>INDEX(CAT_ASSETS[id_cat], MATCH(CAT_DEVICE[[#This Row],[category]],CAT_ASSETS[category],0))</calculatedColumnFormula>
    </tableColumn>
    <tableColumn id="2" xr3:uid="{E3BBE047-150E-4BB8-BA4B-EEB0A1CF1A19}" name="category" dataDxfId="140"/>
    <tableColumn id="4" xr3:uid="{EFA3DB8C-DDB0-4620-8D4B-626EEC2B6454}" name="desc" dataDxfId="139"/>
    <tableColumn id="3" xr3:uid="{4445EC0C-3505-47A7-817A-E7D02DC6DFA1}" name="example" dataDxfId="138"/>
  </tableColumns>
  <tableStyleInfo name="TableStyleLight1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B04657-E09D-470F-8B86-5F3BCFDF83C5}" name="Table12" displayName="Table12" ref="B4:BA19" totalsRowShown="0" headerRowDxfId="371" dataDxfId="369" headerRowBorderDxfId="370" tableBorderDxfId="368" totalsRowBorderDxfId="367">
  <autoFilter ref="B4:BA19" xr:uid="{36B04657-E09D-470F-8B86-5F3BCFDF83C5}"/>
  <tableColumns count="52">
    <tableColumn id="1" xr3:uid="{6686DDCA-B94E-43B2-A50B-DEE33ADDD2F3}" name="id_compd" dataDxfId="366"/>
    <tableColumn id="2" xr3:uid="{BFA0D8E8-60A1-466D-8DE5-73C2D164621E}" name="hostname" dataDxfId="365"/>
    <tableColumn id="3" xr3:uid="{585AE69C-6106-4617-AA08-C0BDA09C3472}" name="sn" dataDxfId="364"/>
    <tableColumn id="4" xr3:uid="{B2DE0D78-230E-4267-804D-66836DF0731B}" name="barcode" dataDxfId="363"/>
    <tableColumn id="5" xr3:uid="{BC342BD9-DF49-4AF7-8D1B-C7FDD668BE68}" name="id_cat_device" dataDxfId="362">
      <calculatedColumnFormula>_xlfn.IFS(LEFT(Table12[[#This Row],[id_compd]],4)="DT","PC DESKTOP",LEFT(Table12[[#This Row],[id_compd]],4)="LAPT","LAPT")</calculatedColumnFormula>
    </tableColumn>
    <tableColumn id="6" xr3:uid="{2ECFBC9B-EDD5-47EE-A257-7B672E52B4A2}" name="brand" dataDxfId="361"/>
    <tableColumn id="7" xr3:uid="{C6E862CB-C81D-4EB1-8BEE-BFC3DD2F2DA0}" name="type" dataDxfId="360"/>
    <tableColumn id="8" xr3:uid="{786E1A42-4276-499B-A674-155950C65A60}" name="processors" dataDxfId="359"/>
    <tableColumn id="9" xr3:uid="{762BD65B-F927-4F05-A910-946AFD586FA3}" name="gen" dataDxfId="358"/>
    <tableColumn id="10" xr3:uid="{B2240D18-21A8-48CE-B0E5-5B2C8B075F64}" name="ram_cap" dataDxfId="357"/>
    <tableColumn id="11" xr3:uid="{849E9B83-B08B-4C98-977F-CB2D339ED914}" name="ram_slot" dataDxfId="356"/>
    <tableColumn id="12" xr3:uid="{DB2DD869-39CE-4350-BAD2-FCDDC7F2696A}" name="ram_type" dataDxfId="355"/>
    <tableColumn id="13" xr3:uid="{A8D4BEEF-4146-4468-A4C4-5733C23D973C}" name="disk1_cap" dataDxfId="354"/>
    <tableColumn id="14" xr3:uid="{8345EC2D-01B1-435F-A4DF-25E7B94F9D1E}" name="disk1_type" dataDxfId="353"/>
    <tableColumn id="15" xr3:uid="{50BA7DDF-AA50-4621-B017-6FD64007F158}" name="disk2_cap" dataDxfId="352"/>
    <tableColumn id="16" xr3:uid="{811A30E5-AD37-445F-911D-F46BFFE0D935}" name="disk2_type" dataDxfId="351"/>
    <tableColumn id="20" xr3:uid="{11A57D74-7EA9-4EC3-A268-66147CAED3E2}" name="os" dataDxfId="350"/>
    <tableColumn id="17" xr3:uid="{F2D9266C-AD81-48F3-9556-3D89CE03634F}" name="os_type" dataDxfId="349"/>
    <tableColumn id="21" xr3:uid="{9C75B5A7-3663-46E3-8C94-FAC103E26DE1}" name="os_ver" dataDxfId="348"/>
    <tableColumn id="18" xr3:uid="{1105E996-7DE3-499D-A176-EA4742751FB5}" name="product_id" dataDxfId="347"/>
    <tableColumn id="19" xr3:uid="{4353A5D3-6661-419F-80B0-4EBA50A57747}" name="product_key" dataDxfId="346"/>
    <tableColumn id="22" xr3:uid="{042F33B3-A00A-40DC-82A5-244811EE2D5D}" name="bh" dataDxfId="345" dataCellStyle="Percent">
      <calculatedColumnFormula>IFERROR(IF(Table12[[#This Row],[id_cat_device]]="PC DESKTOP","NA",(Table12[[#This Row],[fcc]]/Table12[[#This Row],[dc]])),"")</calculatedColumnFormula>
    </tableColumn>
    <tableColumn id="23" xr3:uid="{17476B42-EAF2-4DFC-B73D-A1722F322755}" name="dc" dataDxfId="344"/>
    <tableColumn id="24" xr3:uid="{41308448-EF25-4028-ACDA-320C211C1086}" name="fcc" dataDxfId="343"/>
    <tableColumn id="25" xr3:uid="{00582AE1-355C-49FE-A2DA-F9E8C1D0B950}" name="casing" dataDxfId="342"/>
    <tableColumn id="26" xr3:uid="{79C05D45-6525-4E80-8DCE-0483D331DDF5}" name="display" dataDxfId="341"/>
    <tableColumn id="37" xr3:uid="{89FB34DF-21BE-4368-BDEA-7884C602262B}" name="port_display" dataDxfId="340"/>
    <tableColumn id="27" xr3:uid="{A64D4829-8428-457C-8944-9BDC0A1FB522}" name="keyboard" dataDxfId="339"/>
    <tableColumn id="28" xr3:uid="{AAF517DA-37F6-40D1-B265-A1256D4741BF}" name="touchpad" dataDxfId="338"/>
    <tableColumn id="29" xr3:uid="{BC50647C-C812-4BE2-A897-95ED975C845A}" name="port_usb" dataDxfId="337"/>
    <tableColumn id="30" xr3:uid="{AA757140-3CDA-4AB7-A475-AE46A90351C3}" name="port_jeck" dataDxfId="336"/>
    <tableColumn id="31" xr3:uid="{610AFA45-5630-4E3D-8FA3-23B1871EC9B8}" name="port_psu" dataDxfId="335"/>
    <tableColumn id="32" xr3:uid="{28328974-4E1F-4CDC-ADD1-CCFACC0C1324}" name="fan" dataDxfId="334"/>
    <tableColumn id="33" xr3:uid="{891BC50C-B555-47CE-89A4-3CB4B573F876}" name="webcam" dataDxfId="333"/>
    <tableColumn id="34" xr3:uid="{00EF9998-CB94-4C54-9BB3-32849BFB5A30}" name="microfon" dataDxfId="332"/>
    <tableColumn id="35" xr3:uid="{70386A1D-F13D-4699-AF91-2E20AF59D659}" name="speaker" dataDxfId="331"/>
    <tableColumn id="36" xr3:uid="{8FB8B903-1FA2-4CDC-8A9E-0A4885B10DF1}" name="connection" dataDxfId="330"/>
    <tableColumn id="38" xr3:uid="{B4A902A2-E185-4FF9-8C6F-941FE712D137}" name="conditions" dataDxfId="329">
      <calculatedColumnFormula>IF(OR(Table12[[#This Row],[sub_con]]="CAUTION",Table12[[#This Row],[sub_con]]="POOR"),"BAD","GOOD")</calculatedColumnFormula>
    </tableColumn>
    <tableColumn id="39" xr3:uid="{13FE1115-70B5-41DC-8700-183BC8ED4A6E}" name="sub_con" dataDxfId="328"/>
    <tableColumn id="40" xr3:uid="{CA48C02C-E3E7-4360-9D2A-11E68BCDADFC}" name="note_con" dataDxfId="327"/>
    <tableColumn id="41" xr3:uid="{36ECCE00-9BA8-408C-81C7-7FE7124C52A3}" name="solution" dataDxfId="326">
      <calculatedColumnFormula array="1">_xlfn.IFS(
Table12[[#This Row],[sub_con]]="GREAT","KEEP",
Table12[[#This Row],[sub_con]]="NORMAL","UPGRADE",
Table12[[#This Row],[sub_con]]="CAUTION","SERVICE",
Table12[[#This Row],[sub_con]]="POOR","DISPOSE")</calculatedColumnFormula>
    </tableColumn>
    <tableColumn id="42" xr3:uid="{367B3FE2-E09D-4B7E-8951-5BE39EE89BB3}" name="note_sol" dataDxfId="325"/>
    <tableColumn id="48" xr3:uid="{FAF2D1E1-6F10-4BF6-A3E1-3B9EBD5D2655}" name="status_func" dataDxfId="324"/>
    <tableColumn id="43" xr3:uid="{ABEEECC9-15DF-4BA8-8A42-867FA98869CB}" name="functions" dataDxfId="323"/>
    <tableColumn id="44" xr3:uid="{F47772E7-684B-4B29-8922-813F8C1CC6F8}" name="note_func" dataDxfId="322"/>
    <tableColumn id="45" xr3:uid="{A71D3081-5303-4CCF-910A-E3F7E548B32D}" name="history_pic" dataDxfId="321"/>
    <tableColumn id="46" xr3:uid="{94284A05-0F92-4C16-A982-70648293161F}" name="location" dataDxfId="320"/>
    <tableColumn id="47" xr3:uid="{7ECF6357-22F8-44CF-973C-8A96AE09A65B}" name="note_loc" dataDxfId="319"/>
    <tableColumn id="55" xr3:uid="{780CDB1E-5E5B-4BA7-B4D5-3FA43D0B1C14}" name="status" dataDxfId="318">
      <calculatedColumnFormula>IF(Table12[[#This Row],[pic_nip]]&lt;&gt;999999,"IN USE",IF(AND(Table12[[#This Row],[note_loc]]="WAREHOUSE",Table12[[#This Row],[pic_nip]]=999999),"IN STORE","IN-ACTIVE"))</calculatedColumnFormula>
    </tableColumn>
    <tableColumn id="49" xr3:uid="{054651EB-0BF5-422B-9A6B-9D12F926F4EE}" name="pic_nip" dataDxfId="317"/>
    <tableColumn id="50" xr3:uid="{D4970B17-B465-4C26-BCF1-F3B646E37600}" name="id_maintenance" dataDxfId="316"/>
    <tableColumn id="51" xr3:uid="{32F09A98-8837-4783-ADB8-5AA672D1798A}" name="val-1" dataDxfId="315">
      <calculatedColumnFormula>IF(COUNTBLANK(Table12[[#This Row],[id_compd]:[id_maintenance]])&gt;0,"VALIDATE [IN PROGRESS]","VALIDATE [DONE]")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B431447-4278-994D-8894-1140558E1270}" name="Table1726" displayName="Table1726" ref="B4:L6" totalsRowShown="0" headerRowDxfId="137" dataDxfId="136">
  <autoFilter ref="B4:L6" xr:uid="{60AAD99F-779D-454B-A666-5C7299054384}"/>
  <tableColumns count="11">
    <tableColumn id="1" xr3:uid="{14F87A9F-3347-C942-AF36-23C687476DF9}" name="id_parts" dataDxfId="135"/>
    <tableColumn id="2" xr3:uid="{92ABF55F-B5F1-BE40-AF31-4DB2CB61428C}" name="part_number" dataDxfId="134"/>
    <tableColumn id="3" xr3:uid="{3596CD72-CCD3-B34B-AAA6-7E8A761D7440}" name="name" dataDxfId="133"/>
    <tableColumn id="4" xr3:uid="{CF14691A-B0AC-E548-A465-85ADD9EBF908}" name="description" dataDxfId="132"/>
    <tableColumn id="5" xr3:uid="{77EF12A7-F60C-7E44-942E-82C5D8CB44DF}" name="id_category_parts" dataDxfId="131"/>
    <tableColumn id="6" xr3:uid="{DF1D7296-E6E0-BA4B-A678-698602A9FDC1}" name="part_type" dataDxfId="130"/>
    <tableColumn id="7" xr3:uid="{7D020C88-187D-3A4C-9A51-A8209ADDB826}" name="uom" dataDxfId="129"/>
    <tableColumn id="8" xr3:uid="{70865023-EB30-5E48-9D7F-F623EB04AEDE}" name="is_critical" dataDxfId="128"/>
    <tableColumn id="9" xr3:uid="{5BB18296-2E11-9B43-8656-2CB521EA6777}" name="min_stock" dataDxfId="127"/>
    <tableColumn id="10" xr3:uid="{B6EBF508-13F3-B84C-B7C0-D1B32F63A1AA}" name="reorder_point" dataDxfId="126"/>
    <tableColumn id="11" xr3:uid="{D963A12E-99EE-394C-B217-ADE536A6C5F3}" name="status" dataDxfId="125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0AAD99F-779D-454B-A666-5C7299054384}" name="Table17" displayName="Table17" ref="B4:F54" totalsRowShown="0" dataDxfId="124">
  <autoFilter ref="B4:F54" xr:uid="{60AAD99F-779D-454B-A666-5C7299054384}"/>
  <tableColumns count="5">
    <tableColumn id="1" xr3:uid="{8E1C9ADD-50DB-468B-BC47-2015801E3955}" name="OB" dataDxfId="123"/>
    <tableColumn id="2" xr3:uid="{561FAF73-2F54-4B35-B69F-FF2F002CDF18}" name="TYPE" dataDxfId="122"/>
    <tableColumn id="3" xr3:uid="{FDCB6EEC-143D-4F41-BC27-52C4E7812993}" name="LENGTH" dataDxfId="121"/>
    <tableColumn id="4" xr3:uid="{AD8DC806-765E-495A-80F9-95D2A2BDE39F}" name="LENGHT2" dataDxfId="120">
      <calculatedColumnFormula>IF(Table17[[#This Row],[TYPE]]="ENUM",0,Table17[[#This Row],[LENGTH]])</calculatedColumnFormula>
    </tableColumn>
    <tableColumn id="5" xr3:uid="{7311C28F-B0D2-4F73-A706-A602FAEE2A9F}" name="QUERY" dataDxfId="119">
      <calculatedColumnFormula>Table17[[#This Row],[OB]]&amp;" "&amp;Table17[[#This Row],[TYPE]]&amp;"("&amp;IF(Table17[[#This Row],[TYPE]]="ENUM",("'"&amp;Table17[[#This Row],[LENGTH]]),Table17[[#This Row],[LENGHT2]])&amp;"),"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F6C6C6F-7C21-42DE-A842-F674097FCB23}" name="doc_O992425262728" displayName="doc_O992425262728" ref="B6:U16" totalsRowShown="0" headerRowDxfId="118" dataDxfId="116" headerRowBorderDxfId="117" tableBorderDxfId="115" totalsRowBorderDxfId="114">
  <autoFilter ref="B6:U16" xr:uid="{4A9FE233-6E11-4055-9E21-C2BF9A077AC1}"/>
  <tableColumns count="20">
    <tableColumn id="1" xr3:uid="{84D2B1B4-AAA3-412F-A54E-C6329E998B47}" name="ICO" dataDxfId="113">
      <calculatedColumnFormula>IF(doc_O992425262728[[#This Row],[TGL_BUAT_BQ]]&lt;&gt;"","🚩","")</calculatedColumnFormula>
    </tableColumn>
    <tableColumn id="12" xr3:uid="{F17E6C4D-2D99-41FB-9936-60711C7503E3}" name="CODE" dataDxfId="112">
      <calculatedColumnFormula array="1">"O99"&amp;"-"&amp;
_xlfn.IFS(LEN(doc_O992425262728[[#This Row],[NO]])=1,"00"&amp;doc_O992425262728[[#This Row],[NO]],LEN(doc_O992425262728[[#This Row],[NO]])=2,"0"&amp;doc_O992425262728[[#This Row],[NO]],LEN(doc_O992425262728[[#This Row],[NO]])=3,doc_O992425262728[[#This Row],[NO]])&amp;
"-DOC"</calculatedColumnFormula>
    </tableColumn>
    <tableColumn id="11" xr3:uid="{7DCE85FA-CF18-42F4-8248-F39A77C48480}" name="NO" dataDxfId="111"/>
    <tableColumn id="2" xr3:uid="{A412BEB7-2336-4674-AE17-4F7C8124EE16}" name="TGL_BUAT_BQ" dataDxfId="110"/>
    <tableColumn id="3" xr3:uid="{6147B832-D2F4-414D-A488-971033D353B3}" name="BQ_DIBUAT" dataDxfId="109"/>
    <tableColumn id="18" xr3:uid="{55E6A040-DEE6-4E16-9F35-A8AD60F7A785}" name="BQ_UNTUK" dataDxfId="108"/>
    <tableColumn id="16" xr3:uid="{34B955C6-7889-47BB-9969-D27CB9F6BA8D}" name="BQ_PRIHAL" dataDxfId="107"/>
    <tableColumn id="17" xr3:uid="{111F2767-E75B-4DE3-A9DA-E5BF26EB49B7}" name="QTY" dataDxfId="106"/>
    <tableColumn id="8" xr3:uid="{6A8C775F-222B-4A1E-9597-0F34F9D2FE53}" name="UOM" dataDxfId="105"/>
    <tableColumn id="4" xr3:uid="{B21C9153-8E35-49B3-8BD6-C577911F352C}" name="NO. BOQ" dataDxfId="104"/>
    <tableColumn id="21" xr3:uid="{F81FF3AA-86E5-44F7-A68C-9FA97153CBB0}" name="BQ-STATUS_APPROVALS" dataDxfId="103">
      <calculatedColumnFormula array="1">_xlfn.IFS(OR(doc_O992425262728[[#This Row],[BQ_CHECK]]="REJECT",doc_O992425262728[[#This Row],[BQ_KNOWN]]="REJECT",doc_O992425262728[[#This Row],[BQ_APPROVAL]]="REJECT"),"CANCELLED",OR(doc_O992425262728[[#This Row],[BQ_CHECK]]="",doc_O992425262728[[#This Row],[BQ_KNOWN]]="",doc_O992425262728[[#This Row],[BQ_APPROVAL]]=""),"ON GOING",doc_O992425262728[[#This Row],[BQ_APPROVAL]]="SIGN","APPROVED")</calculatedColumnFormula>
    </tableColumn>
    <tableColumn id="5" xr3:uid="{6D985970-F076-4C8A-885C-FFAAF151A68C}" name="BQ_CHECK" dataDxfId="102"/>
    <tableColumn id="20" xr3:uid="{69CF0DAF-82DE-4C78-B221-6D3BEF72D6F2}" name="BQ_KNOWN" dataDxfId="101"/>
    <tableColumn id="19" xr3:uid="{C0908F31-7463-41F2-91E2-9C2F5826AC48}" name="BQ_APPROVAL" dataDxfId="100"/>
    <tableColumn id="7" xr3:uid="{27D85D73-4CB1-46F4-9D24-D0D4BEC6295C}" name="NO.PR" dataDxfId="99"/>
    <tableColumn id="9" xr3:uid="{C5F18D97-FD0B-4242-90FE-A28372640088}" name="NO. PO" dataDxfId="98"/>
    <tableColumn id="10" xr3:uid="{A10E3B6C-9682-4B92-893F-F1C128708DC9}" name="SHIPPING DATE" dataDxfId="97"/>
    <tableColumn id="13" xr3:uid="{4F17E5DB-AF48-43FA-9D51-C54E6C79784F}" name="LAST_DOC" dataDxfId="96">
      <calculatedColumnFormula array="1">_xlfn.IFS(OR(doc_O992425262728[[#This Row],[SHIPPING DATE]]="X",doc_O992425262728[[#This Row],[NO. PO]]="X",doc_O992425262728[[#This Row],[NO.PR]]="X",doc_O992425262728[[#This Row],[BQ-STATUS_APPROVALS]]="CANCELLED"),"CANCELLED",
doc_O992425262728[[#This Row],[SHIPPING DATE]]&lt;&gt;"","SHIPPED",
AND(doc_O992425262728[[#This Row],[NO. PO]]&lt;&gt;"",doc_O992425262728[[#This Row],[NO.PR]]&lt;&gt;"",doc_O992425262728[[#This Row],[BQ-STATUS_APPROVALS]]="APPROVED"),"PO",
AND(doc_O992425262728[[#This Row],[BQ-STATUS_APPROVALS]]="APPROVED",OR(doc_O992425262728[[#This Row],[NO.PR]]&lt;&gt;"",doc_O992425262728[[#This Row],[NO.PR]]="")),"WPR",doc_O992425262728[[#This Row],[BQ-STATUS_APPROVALS]]&lt;&gt;"APPROVED","BOQ")</calculatedColumnFormula>
    </tableColumn>
    <tableColumn id="6" xr3:uid="{C554734C-DA36-408C-B4B3-81D5C82CE457}" name="STATUS" dataDxfId="95">
      <calculatedColumnFormula array="1">_xlfn.IFS(doc_O992425262728[[#This Row],[LAST_DOC]]="SHIPPED","DONE",doc_O992425262728[[#This Row],[LAST_DOC]]="PO","PURCHASING",doc_O992425262728[[#This Row],[LAST_DOC]]="WPR","ADMIN IT",doc_O992425262728[[#This Row],[LAST_DOC]]="BOQ","IT",doc_O992425262728[[#This Row],[LAST_DOC]]="CANCELLED","CANCEL")</calculatedColumnFormula>
    </tableColumn>
    <tableColumn id="14" xr3:uid="{153FC069-0FE9-4FC9-B7B0-3B6008A924B9}" name="KETERANGAN" dataDxfId="9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05AE25B-F86C-CF48-B860-933814507BAF}" name="LEVEL10111523" displayName="LEVEL10111523" ref="B4:R5" totalsRowShown="0" headerRowDxfId="93" dataDxfId="92">
  <autoFilter ref="B4:R5" xr:uid="{7DE198AD-F7CD-4D8B-8B06-149D91FCE15F}"/>
  <tableColumns count="17">
    <tableColumn id="1" xr3:uid="{BD61E1AB-E849-BE46-BB58-EB5FCB3A69F9}" name="no_boq" dataDxfId="91"/>
    <tableColumn id="6" xr3:uid="{D21BF0E5-BFDA-2143-828E-B8E0A52586F6}" name="nip_creator" dataDxfId="90"/>
    <tableColumn id="5" xr3:uid="{1AAEBC14-86FA-4872-905C-E7D3876881C2}" name="name_creator" dataDxfId="89"/>
    <tableColumn id="17" xr3:uid="{F26BF9F9-6EB9-BC49-9DED-B22392881E87}" name="id_cat" dataDxfId="88"/>
    <tableColumn id="2" xr3:uid="{FF661F28-6897-664E-9C47-399325985596}" name="id_cat_device" dataDxfId="87"/>
    <tableColumn id="15" xr3:uid="{110A9CF0-54B0-9148-9148-978EC58F3596}" name="id_site" dataDxfId="86"/>
    <tableColumn id="4" xr3:uid="{303745BF-1C4E-1C49-9F25-2EE95C24B33D}" name="prihal" dataDxfId="85"/>
    <tableColumn id="16" xr3:uid="{781420C1-2ABE-4D49-849F-4938A2763FFB}" name="details" dataDxfId="84"/>
    <tableColumn id="7" xr3:uid="{C918E117-3DB8-C444-B0D4-FB49B43AC53E}" name="attechment_boq" dataDxfId="83"/>
    <tableColumn id="8" xr3:uid="{36EE4976-94A6-4744-BD2E-82A037C5BDAE}" name="attachment_fullsign" dataDxfId="82"/>
    <tableColumn id="14" xr3:uid="{49FC241D-E4EE-0B4A-85A0-463724597EFB}" name="status" dataDxfId="81"/>
    <tableColumn id="10" xr3:uid="{7008A6CD-E6C7-4148-AD8A-8024A492FDEA}" name="no_wpr" dataDxfId="80"/>
    <tableColumn id="11" xr3:uid="{37253203-8B2F-8F42-AEFC-21041C1EF237}" name="no_po" dataDxfId="79"/>
    <tableColumn id="13" xr3:uid="{6E82BDF8-FBBC-B941-A1D0-5D8A24B931FA}" name="date_ship" dataDxfId="78"/>
    <tableColumn id="3" xr3:uid="{C171BA72-8947-0442-9530-05E561D2BB40}" name="create_date" dataDxfId="77"/>
    <tableColumn id="12" xr3:uid="{FB456D69-4914-A742-BDAD-EED1B0984825}" name="day" dataDxfId="76">
      <calculatedColumnFormula>NETWORKDAYS(LEVEL10111523[[#This Row],[create_date]],LEVEL10111523[[#This Row],[date_ship]])</calculatedColumnFormula>
    </tableColumn>
    <tableColumn id="9" xr3:uid="{3B25A414-9D48-E345-88B0-AD201B588374}" name="ends" dataDxfId="75"/>
  </tableColumns>
  <tableStyleInfo name="TableStyleLight1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0FB75CF-1E9D-114B-A48B-8D0A99A0B8B0}" name="LEVEL1011152324" displayName="LEVEL1011152324" ref="B4:Q5" totalsRowShown="0" headerRowDxfId="74" dataDxfId="73">
  <autoFilter ref="B4:Q5" xr:uid="{7DE198AD-F7CD-4D8B-8B06-149D91FCE15F}"/>
  <tableColumns count="16">
    <tableColumn id="1" xr3:uid="{FB7A4CAC-3141-7045-89B7-4AACF584FC3C}" name="no_wpr" dataDxfId="72"/>
    <tableColumn id="6" xr3:uid="{65D8979D-8622-F649-8E12-A5A74FE752DF}" name="nip_creator" dataDxfId="71"/>
    <tableColumn id="5" xr3:uid="{6A3594AA-5268-354A-9790-17CACB76E9ED}" name="name_creator" dataDxfId="70"/>
    <tableColumn id="18" xr3:uid="{2D0E032D-CC9A-D249-A203-6B1731CCD2A1}" name="no_boq" dataDxfId="69"/>
    <tableColumn id="17" xr3:uid="{8906407D-F1DC-9D40-8F7F-361F31C4EED8}" name="id_cat" dataDxfId="68"/>
    <tableColumn id="2" xr3:uid="{3795F098-3F53-0C40-AB6C-7107C2AB6BE0}" name="id_cat_device" dataDxfId="67"/>
    <tableColumn id="15" xr3:uid="{27274904-4CDC-9541-8DF4-F44138D35EF2}" name="id_site" dataDxfId="66"/>
    <tableColumn id="19" xr3:uid="{109D5B25-B0E5-1C4F-8DF6-D792830AA983}" name="pt" dataDxfId="65"/>
    <tableColumn id="7" xr3:uid="{F42009B8-66FA-334E-85A7-AEB0E96FB67D}" name="attechment_wpr" dataDxfId="64"/>
    <tableColumn id="8" xr3:uid="{A27A6D05-9694-854F-94A9-CE48E6C6618A}" name="attachment_approved" dataDxfId="63"/>
    <tableColumn id="14" xr3:uid="{5F1642D7-FC32-F849-AF86-A47FD27579C6}" name="status_doc" dataDxfId="62"/>
    <tableColumn id="11" xr3:uid="{CA4A0F76-332F-7946-95A8-637B87B89C14}" name="no_po" dataDxfId="61"/>
    <tableColumn id="13" xr3:uid="{F2C567EE-CF0C-5843-902D-6E8ED18BAFDC}" name="date_ship" dataDxfId="60"/>
    <tableColumn id="3" xr3:uid="{4C82B2A1-EDF5-264A-9AF2-251CBE10B512}" name="create_date" dataDxfId="59"/>
    <tableColumn id="12" xr3:uid="{67236168-E450-BB44-93B9-8FC2779BFB10}" name="day" dataDxfId="58">
      <calculatedColumnFormula>NETWORKDAYS(LEVEL1011152324[[#This Row],[create_date]],LEVEL1011152324[[#This Row],[date_ship]])</calculatedColumnFormula>
    </tableColumn>
    <tableColumn id="9" xr3:uid="{F961F352-1E31-A440-9185-D53935CC6D41}" name="procurement_status" dataDxfId="57"/>
  </tableColumns>
  <tableStyleInfo name="TableStyleLight1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A0D9A19-09AF-B141-88FA-D9EDD34860E0}" name="LEVEL101115232425" displayName="LEVEL101115232425" ref="B4:L5" totalsRowShown="0" headerRowDxfId="56" dataDxfId="55">
  <autoFilter ref="B4:L5" xr:uid="{7DE198AD-F7CD-4D8B-8B06-149D91FCE15F}"/>
  <tableColumns count="11">
    <tableColumn id="1" xr3:uid="{4DBC3888-428F-CD4F-84DA-44073EF33520}" name="no_po" dataDxfId="54"/>
    <tableColumn id="6" xr3:uid="{3A45D670-558B-4545-A8D9-B10227AC9D62}" name="nip_creator" dataDxfId="53"/>
    <tableColumn id="5" xr3:uid="{10D098B9-EA3A-5D40-83AF-285EC6EBD60D}" name="name_creator" dataDxfId="52"/>
    <tableColumn id="18" xr3:uid="{765BAD89-BA65-A545-8C3E-2FC3EDAF22DB}" name="no_wpr" dataDxfId="51"/>
    <tableColumn id="17" xr3:uid="{FC7FD8E2-42C1-344F-AE92-EBC687A9679A}" name="id_cat" dataDxfId="50"/>
    <tableColumn id="2" xr3:uid="{5C1523B1-2054-7943-8793-D7A5D17DDAFA}" name="id_cat_device" dataDxfId="49"/>
    <tableColumn id="15" xr3:uid="{B6A2EC9F-FE50-824F-B618-B448B270179B}" name="id_site" dataDxfId="48"/>
    <tableColumn id="19" xr3:uid="{4DCA2754-5811-7948-BDD6-42C18AA73D0D}" name="pt" dataDxfId="47"/>
    <tableColumn id="7" xr3:uid="{9D9FF1B5-1B46-824C-9CF6-44DA5A59121F}" name="attechment_po" dataDxfId="46"/>
    <tableColumn id="13" xr3:uid="{CF0C80BF-4ED9-3C47-8C37-A516E9F56B8C}" name="date_ship" dataDxfId="45"/>
    <tableColumn id="9" xr3:uid="{27B998B7-6060-E44D-8DF8-01E2214166CE}" name="procurement_status" dataDxfId="44"/>
  </tableColumns>
  <tableStyleInfo name="TableStyleLight13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87D79A1-545E-4040-96D6-FDAF421C275A}" name="Table156" displayName="Table156" ref="B5:W24" totalsRowShown="0" headerRowDxfId="43" dataDxfId="41" headerRowBorderDxfId="42" tableBorderDxfId="40" totalsRowBorderDxfId="39">
  <autoFilter ref="B5:W24" xr:uid="{331162D5-1B79-4BF1-A148-16BD334F53AA}"/>
  <tableColumns count="22">
    <tableColumn id="1" xr3:uid="{E445C944-A25B-4388-897C-06E13810019D}" name="NO." dataDxfId="38"/>
    <tableColumn id="2" xr3:uid="{214705C5-FD1C-436A-82C9-AC56AD31CF31}" name="id_doc" dataDxfId="37">
      <calculatedColumnFormula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calculatedColumnFormula>
    </tableColumn>
    <tableColumn id="3" xr3:uid="{435EB743-A54D-4864-BFC6-3ECCEC80D97A}" name="date" dataDxfId="36"/>
    <tableColumn id="4" xr3:uid="{32B7A223-4AD7-44C1-A7E5-1677A7069165}" name="d" dataDxfId="35">
      <calculatedColumnFormula>TEXT(Table156[[#This Row],[date]],"DD")</calculatedColumnFormula>
    </tableColumn>
    <tableColumn id="5" xr3:uid="{8902C85C-61F9-4991-AD49-C3770B42A242}" name="m" dataDxfId="34">
      <calculatedColumnFormula>TEXT(Table156[[#This Row],[date]],"MM")</calculatedColumnFormula>
    </tableColumn>
    <tableColumn id="6" xr3:uid="{E6B07112-6B52-4B84-A1E8-2750C8F54689}" name="hostname" dataDxfId="33"/>
    <tableColumn id="24" xr3:uid="{35610261-1E8C-4A5D-9B6B-EBCA39193807}" name="barcode" dataDxfId="32"/>
    <tableColumn id="7" xr3:uid="{1C5C5F4C-D7A6-467B-9DD7-44D52B920864}" name="sn" dataDxfId="31"/>
    <tableColumn id="20" xr3:uid="{BD0C2067-2286-4F12-9495-3863775EB145}" name="brand.type" dataDxfId="30"/>
    <tableColumn id="21" xr3:uid="{ADAEE54C-62C5-4A5F-A0D6-EC0327C9981E}" name="processor" dataDxfId="29"/>
    <tableColumn id="23" xr3:uid="{8F8A27CF-036B-415E-970C-9CB6ECDA31F1}" name="ram" dataDxfId="28"/>
    <tableColumn id="22" xr3:uid="{B667F44C-38D9-45E2-B466-A1F460046C67}" name="Hardisk" dataDxfId="27"/>
    <tableColumn id="8" xr3:uid="{F9B6BEDB-4A24-4804-A61E-D2F1A5423125}" name="id_site" dataDxfId="26"/>
    <tableColumn id="9" xr3:uid="{E8A91D0F-DB8C-4A8A-815C-D39303102620}" name="id_corp" dataDxfId="25"/>
    <tableColumn id="13" xr3:uid="{84C28CC4-D7A5-4B95-8EA9-F21FF54FAE4B}" name="nip_from" dataDxfId="24"/>
    <tableColumn id="12" xr3:uid="{6ABE40CC-E4F1-4B57-A01E-DCC6E4BFC2B8}" name="nip_to" dataDxfId="23"/>
    <tableColumn id="14" xr3:uid="{B277B814-9FD3-4FFF-8B7E-43C601111F4D}" name="status_doc" dataDxfId="22"/>
    <tableColumn id="19" xr3:uid="{0E95C3C0-BE4A-4F60-846B-930A06E32379}" name="price" dataDxfId="21"/>
    <tableColumn id="16" xr3:uid="{A51A550F-88CE-4B6B-A3E2-12F170FAEB9F}" name="NO.PO" dataDxfId="20"/>
    <tableColumn id="17" xr3:uid="{001019BD-8010-479C-B856-85490ACB527D}" name="NO.WPR" dataDxfId="19"/>
    <tableColumn id="18" xr3:uid="{8FDAF050-211F-460D-9DFD-9CC74360E1F4}" name="SHIPPDATE" dataDxfId="18"/>
    <tableColumn id="10" xr3:uid="{DD25188E-6C13-4D80-8FCF-3C405B66C8F9}" name="status_assets" dataDxfId="1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Z29"/>
  <sheetViews>
    <sheetView showGridLines="0" zoomScale="85" zoomScaleNormal="85" workbookViewId="0">
      <pane xSplit="3" ySplit="4" topLeftCell="M5" activePane="bottomRight" state="frozen"/>
      <selection pane="topRight" activeCell="D1" sqref="D1"/>
      <selection pane="bottomLeft" activeCell="A5" sqref="A5"/>
      <selection pane="bottomRight" activeCell="Y11" sqref="Y11"/>
    </sheetView>
  </sheetViews>
  <sheetFormatPr baseColWidth="10" defaultColWidth="8.83203125" defaultRowHeight="15" x14ac:dyDescent="0.2"/>
  <cols>
    <col min="1" max="1" width="2.6640625" customWidth="1"/>
    <col min="2" max="2" width="9.6640625" bestFit="1" customWidth="1"/>
    <col min="3" max="3" width="24.83203125" bestFit="1" customWidth="1"/>
    <col min="4" max="4" width="13" bestFit="1" customWidth="1"/>
    <col min="5" max="6" width="15" bestFit="1" customWidth="1"/>
    <col min="7" max="7" width="20.1640625" bestFit="1" customWidth="1"/>
    <col min="8" max="8" width="16.1640625" bestFit="1" customWidth="1"/>
    <col min="9" max="9" width="20.5" bestFit="1" customWidth="1"/>
    <col min="10" max="10" width="21.33203125" bestFit="1" customWidth="1"/>
    <col min="11" max="11" width="38.33203125" bestFit="1" customWidth="1"/>
    <col min="12" max="12" width="19.6640625" bestFit="1" customWidth="1"/>
    <col min="13" max="13" width="21" bestFit="1" customWidth="1"/>
    <col min="14" max="14" width="23.1640625" bestFit="1" customWidth="1"/>
    <col min="15" max="15" width="21.5" bestFit="1" customWidth="1"/>
    <col min="16" max="16" width="12.6640625" bestFit="1" customWidth="1"/>
    <col min="17" max="17" width="12.1640625" bestFit="1" customWidth="1"/>
    <col min="18" max="18" width="12.5" bestFit="1" customWidth="1"/>
    <col min="19" max="19" width="16" bestFit="1" customWidth="1"/>
    <col min="20" max="22" width="25" bestFit="1" customWidth="1"/>
    <col min="23" max="23" width="15.5" customWidth="1"/>
    <col min="24" max="24" width="16.33203125" bestFit="1" customWidth="1"/>
    <col min="25" max="25" width="25" bestFit="1" customWidth="1"/>
    <col min="26" max="26" width="15.5" bestFit="1" customWidth="1"/>
  </cols>
  <sheetData>
    <row r="2" spans="1:26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6" x14ac:dyDescent="0.2">
      <c r="B3" s="2">
        <f>LEN(B5)</f>
        <v>6</v>
      </c>
      <c r="C3" s="2">
        <f t="shared" ref="C3:D3" si="0">LEN(C5)</f>
        <v>16</v>
      </c>
      <c r="D3" s="2">
        <f t="shared" si="0"/>
        <v>5</v>
      </c>
      <c r="E3" s="2"/>
      <c r="F3" s="2">
        <f>LEN(G5)</f>
        <v>11</v>
      </c>
      <c r="G3" s="2">
        <f>LEN(H5)</f>
        <v>7</v>
      </c>
      <c r="H3" s="2">
        <f>LEN(J5)</f>
        <v>7</v>
      </c>
      <c r="I3" s="2"/>
      <c r="J3" s="2">
        <f>LEN(L5)</f>
        <v>7</v>
      </c>
      <c r="K3" s="2">
        <f>LEN(N5)</f>
        <v>7</v>
      </c>
      <c r="L3" s="2">
        <f>LEN(P5)</f>
        <v>1</v>
      </c>
      <c r="M3" s="2">
        <f>LEN(Q5)</f>
        <v>3</v>
      </c>
      <c r="N3" s="2">
        <f>LEN(R5)</f>
        <v>3</v>
      </c>
      <c r="O3" s="2">
        <f>LEN(S5)</f>
        <v>5</v>
      </c>
      <c r="P3" s="2"/>
      <c r="Q3" s="2">
        <f>LEN(U5)</f>
        <v>5</v>
      </c>
      <c r="R3" s="2"/>
      <c r="S3" s="2"/>
      <c r="T3" s="2"/>
      <c r="U3" s="2"/>
      <c r="V3" s="2">
        <f>LEN(W5)</f>
        <v>8</v>
      </c>
      <c r="W3" s="2"/>
    </row>
    <row r="4" spans="1:26" x14ac:dyDescent="0.2">
      <c r="B4" s="3" t="s">
        <v>652</v>
      </c>
      <c r="C4" s="3" t="s">
        <v>653</v>
      </c>
      <c r="D4" s="64" t="s">
        <v>654</v>
      </c>
      <c r="E4" s="3" t="s">
        <v>835</v>
      </c>
      <c r="F4" s="3" t="s">
        <v>655</v>
      </c>
      <c r="G4" s="64" t="s">
        <v>656</v>
      </c>
      <c r="H4" s="3" t="s">
        <v>667</v>
      </c>
      <c r="I4" s="3" t="s">
        <v>668</v>
      </c>
      <c r="J4" s="3" t="s">
        <v>669</v>
      </c>
      <c r="K4" s="3" t="s">
        <v>670</v>
      </c>
      <c r="L4" s="3" t="s">
        <v>832</v>
      </c>
      <c r="M4" s="3" t="s">
        <v>671</v>
      </c>
      <c r="N4" s="3" t="s">
        <v>836</v>
      </c>
      <c r="O4" s="3" t="s">
        <v>837</v>
      </c>
      <c r="P4" s="3" t="s">
        <v>834</v>
      </c>
      <c r="Q4" s="3" t="s">
        <v>742</v>
      </c>
      <c r="R4" s="3" t="s">
        <v>673</v>
      </c>
      <c r="S4" s="3" t="s">
        <v>658</v>
      </c>
      <c r="T4" s="3" t="s">
        <v>659</v>
      </c>
      <c r="U4" s="3" t="s">
        <v>660</v>
      </c>
      <c r="V4" s="3" t="s">
        <v>661</v>
      </c>
      <c r="W4" s="3" t="s">
        <v>662</v>
      </c>
      <c r="X4" s="3" t="s">
        <v>663</v>
      </c>
      <c r="Y4" s="3" t="s">
        <v>664</v>
      </c>
      <c r="Z4" s="3" t="s">
        <v>665</v>
      </c>
    </row>
    <row r="5" spans="1:26" x14ac:dyDescent="0.2">
      <c r="A5" s="3" t="s">
        <v>558</v>
      </c>
      <c r="B5" s="13">
        <v>240287</v>
      </c>
      <c r="C5" s="14" t="s">
        <v>218</v>
      </c>
      <c r="D5" s="15" t="s">
        <v>65</v>
      </c>
      <c r="E5" s="67" t="str">
        <f>_xlfn.IFNA(VLOOKUP(EMPLOYEE[[#This Row],[id_level]],LEVEL[],2,0),"")</f>
        <v>General Manager</v>
      </c>
      <c r="F5" s="16">
        <v>60000000</v>
      </c>
      <c r="G5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SO-04010000</v>
      </c>
      <c r="H5" s="15" t="s">
        <v>99</v>
      </c>
      <c r="I5" s="15" t="str">
        <f>_xlfn.IFNA(VLOOKUP(EMPLOYEE[[#This Row],[id_dir]],DIRECTORATE[],2,0),"")</f>
        <v>Chief Technology Officer</v>
      </c>
      <c r="J5" s="15" t="s">
        <v>125</v>
      </c>
      <c r="K5" s="15" t="str">
        <f>_xlfn.IFNA(VLOOKUP(EMPLOYEE[[#This Row],[id_div]],DIVISION[],2,0),"")</f>
        <v>Information Technology</v>
      </c>
      <c r="L5" s="15" t="s">
        <v>240</v>
      </c>
      <c r="M5" s="15" t="str">
        <f>_xlfn.IFNA(VLOOKUP(EMPLOYEE[[#This Row],[id_dep]],DIVISION5[],2,0),"")</f>
        <v>EMPTY</v>
      </c>
      <c r="N5" s="15" t="s">
        <v>188</v>
      </c>
      <c r="O5" s="15" t="str">
        <f>_xlfn.IFNA(VLOOKUP(EMPLOYEE[[#This Row],[id_sub]],DIVISION56[],2,0),"")</f>
        <v>EMPTY</v>
      </c>
      <c r="P5" s="15" t="s">
        <v>785</v>
      </c>
      <c r="Q5" s="15" t="s">
        <v>255</v>
      </c>
      <c r="R5" s="15" t="s">
        <v>253</v>
      </c>
      <c r="S5" s="17">
        <v>45334</v>
      </c>
      <c r="T5" s="17" t="str">
        <f>TEXT(EMPLOYEE[[#This Row],[date_hiring]],"YYYY-MM-DD")</f>
        <v>2024-02-12</v>
      </c>
      <c r="U5" s="17">
        <v>46003</v>
      </c>
      <c r="V5" s="17" t="str">
        <f>TEXT(EMPLOYEE[[#This Row],[date_resign]],"YYYY-MM-DD")</f>
        <v>2025-12-12</v>
      </c>
      <c r="W5" s="13" t="str">
        <f>IF(EMPLOYEE[[#This Row],[date_resign]]="NULL","Employee","Resigned")</f>
        <v>Resigned</v>
      </c>
      <c r="X5" s="22" t="s">
        <v>307</v>
      </c>
      <c r="Y5" s="18" t="s">
        <v>275</v>
      </c>
      <c r="Z5" s="67" t="s">
        <v>285</v>
      </c>
    </row>
    <row r="6" spans="1:26" x14ac:dyDescent="0.2">
      <c r="A6" s="3" t="s">
        <v>558</v>
      </c>
      <c r="B6" s="13">
        <v>210949</v>
      </c>
      <c r="C6" s="14" t="s">
        <v>219</v>
      </c>
      <c r="D6" s="15" t="s">
        <v>65</v>
      </c>
      <c r="E6" s="67" t="str">
        <f>_xlfn.IFNA(VLOOKUP(EMPLOYEE[[#This Row],[id_level]],LEVEL[],2,0),"")</f>
        <v>General Manager</v>
      </c>
      <c r="F6" s="16">
        <v>70000000</v>
      </c>
      <c r="G6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SO-04010000</v>
      </c>
      <c r="H6" s="15" t="s">
        <v>99</v>
      </c>
      <c r="I6" s="15" t="str">
        <f>_xlfn.IFNA(VLOOKUP(EMPLOYEE[[#This Row],[id_dir]],DIRECTORATE[],2,0),"")</f>
        <v>Chief Technology Officer</v>
      </c>
      <c r="J6" s="15" t="s">
        <v>125</v>
      </c>
      <c r="K6" s="15" t="str">
        <f>_xlfn.IFNA(VLOOKUP(EMPLOYEE[[#This Row],[id_div]],DIVISION[],2,0),"")</f>
        <v>Information Technology</v>
      </c>
      <c r="L6" s="15" t="s">
        <v>240</v>
      </c>
      <c r="M6" s="15" t="str">
        <f>_xlfn.IFNA(VLOOKUP(EMPLOYEE[[#This Row],[id_dep]],DIVISION5[],2,0),"")</f>
        <v>EMPTY</v>
      </c>
      <c r="N6" s="15" t="s">
        <v>188</v>
      </c>
      <c r="O6" s="15" t="str">
        <f>_xlfn.IFNA(VLOOKUP(EMPLOYEE[[#This Row],[id_sub]],DIVISION56[],2,0),"")</f>
        <v>EMPTY</v>
      </c>
      <c r="P6" s="15" t="s">
        <v>785</v>
      </c>
      <c r="Q6" s="15" t="s">
        <v>255</v>
      </c>
      <c r="R6" s="15" t="s">
        <v>253</v>
      </c>
      <c r="S6" s="17">
        <v>44551</v>
      </c>
      <c r="T6" s="17" t="str">
        <f>TEXT(EMPLOYEE[[#This Row],[date_hiring]],"YYYY-MM-DD")</f>
        <v>2021-12-21</v>
      </c>
      <c r="U6" s="17">
        <v>45272</v>
      </c>
      <c r="V6" s="17" t="str">
        <f>TEXT(EMPLOYEE[[#This Row],[date_resign]],"YYYY-MM-DD")</f>
        <v>2023-12-12</v>
      </c>
      <c r="W6" s="13" t="str">
        <f>IF(EMPLOYEE[[#This Row],[date_resign]]="NULL","Employee","Resigned")</f>
        <v>Resigned</v>
      </c>
      <c r="X6" s="22" t="s">
        <v>308</v>
      </c>
      <c r="Y6" s="18"/>
      <c r="Z6" s="67"/>
    </row>
    <row r="7" spans="1:26" x14ac:dyDescent="0.2">
      <c r="A7" s="3" t="s">
        <v>558</v>
      </c>
      <c r="B7" s="13">
        <v>180362</v>
      </c>
      <c r="C7" s="14" t="s">
        <v>220</v>
      </c>
      <c r="D7" s="15" t="s">
        <v>78</v>
      </c>
      <c r="E7" s="67" t="str">
        <f>_xlfn.IFNA(VLOOKUP(EMPLOYEE[[#This Row],[id_level]],LEVEL[],2,0),"")</f>
        <v>Staff</v>
      </c>
      <c r="F7" s="16">
        <v>7500000</v>
      </c>
      <c r="G7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SO-04010001</v>
      </c>
      <c r="H7" s="15" t="s">
        <v>99</v>
      </c>
      <c r="I7" s="15" t="str">
        <f>_xlfn.IFNA(VLOOKUP(EMPLOYEE[[#This Row],[id_dir]],DIRECTORATE[],2,0),"")</f>
        <v>Chief Technology Officer</v>
      </c>
      <c r="J7" s="15" t="s">
        <v>125</v>
      </c>
      <c r="K7" s="15" t="str">
        <f>_xlfn.IFNA(VLOOKUP(EMPLOYEE[[#This Row],[id_div]],DIVISION[],2,0),"")</f>
        <v>Information Technology</v>
      </c>
      <c r="L7" s="15" t="s">
        <v>240</v>
      </c>
      <c r="M7" s="15" t="str">
        <f>_xlfn.IFNA(VLOOKUP(EMPLOYEE[[#This Row],[id_dep]],DIVISION5[],2,0),"")</f>
        <v>EMPTY</v>
      </c>
      <c r="N7" s="15" t="s">
        <v>260</v>
      </c>
      <c r="O7" s="15" t="str">
        <f>_xlfn.IFNA(VLOOKUP(EMPLOYEE[[#This Row],[id_sub]],DIVISION56[],2,0),"")</f>
        <v>Admin</v>
      </c>
      <c r="P7" s="15" t="s">
        <v>785</v>
      </c>
      <c r="Q7" s="15" t="s">
        <v>255</v>
      </c>
      <c r="R7" s="15" t="s">
        <v>253</v>
      </c>
      <c r="S7" s="17">
        <v>43165</v>
      </c>
      <c r="T7" s="17" t="str">
        <f>TEXT(EMPLOYEE[[#This Row],[date_hiring]],"YYYY-MM-DD")</f>
        <v>2018-03-06</v>
      </c>
      <c r="U7" s="17" t="s">
        <v>258</v>
      </c>
      <c r="V7" s="17" t="str">
        <f>TEXT(EMPLOYEE[[#This Row],[date_resign]],"YYYY-MM-DD")</f>
        <v>Null</v>
      </c>
      <c r="W7" s="13" t="str">
        <f>IF(EMPLOYEE[[#This Row],[date_resign]]="NULL","Employee","Resigned")</f>
        <v>Employee</v>
      </c>
      <c r="X7" s="22" t="s">
        <v>309</v>
      </c>
      <c r="Y7" s="18" t="s">
        <v>263</v>
      </c>
      <c r="Z7" s="67" t="s">
        <v>286</v>
      </c>
    </row>
    <row r="8" spans="1:26" x14ac:dyDescent="0.2">
      <c r="A8" s="3" t="s">
        <v>558</v>
      </c>
      <c r="B8" s="13">
        <v>240763</v>
      </c>
      <c r="C8" s="14" t="s">
        <v>221</v>
      </c>
      <c r="D8" s="15" t="s">
        <v>68</v>
      </c>
      <c r="E8" s="67" t="str">
        <f>_xlfn.IFNA(VLOOKUP(EMPLOYEE[[#This Row],[id_level]],LEVEL[],2,0),"")</f>
        <v>Senior Manager</v>
      </c>
      <c r="F8" s="16">
        <v>35000000</v>
      </c>
      <c r="G8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SO-04010100</v>
      </c>
      <c r="H8" s="15" t="s">
        <v>99</v>
      </c>
      <c r="I8" s="15" t="str">
        <f>_xlfn.IFNA(VLOOKUP(EMPLOYEE[[#This Row],[id_dir]],DIRECTORATE[],2,0),"")</f>
        <v>Chief Technology Officer</v>
      </c>
      <c r="J8" s="15" t="s">
        <v>125</v>
      </c>
      <c r="K8" s="15" t="str">
        <f>_xlfn.IFNA(VLOOKUP(EMPLOYEE[[#This Row],[id_div]],DIVISION[],2,0),"")</f>
        <v>Information Technology</v>
      </c>
      <c r="L8" s="15" t="s">
        <v>241</v>
      </c>
      <c r="M8" s="15" t="str">
        <f>_xlfn.IFNA(VLOOKUP(EMPLOYEE[[#This Row],[id_dep]],DIVISION5[],2,0),"")</f>
        <v>IT Application</v>
      </c>
      <c r="N8" s="15" t="s">
        <v>188</v>
      </c>
      <c r="O8" s="15" t="str">
        <f>_xlfn.IFNA(VLOOKUP(EMPLOYEE[[#This Row],[id_sub]],DIVISION56[],2,0),"")</f>
        <v>EMPTY</v>
      </c>
      <c r="P8" s="15" t="s">
        <v>785</v>
      </c>
      <c r="Q8" s="15" t="s">
        <v>255</v>
      </c>
      <c r="R8" s="15" t="s">
        <v>253</v>
      </c>
      <c r="S8" s="17">
        <v>45411</v>
      </c>
      <c r="T8" s="17" t="str">
        <f>TEXT(EMPLOYEE[[#This Row],[date_hiring]],"YYYY-MM-DD")</f>
        <v>2024-04-29</v>
      </c>
      <c r="U8" s="17" t="s">
        <v>258</v>
      </c>
      <c r="V8" s="17" t="str">
        <f>TEXT(EMPLOYEE[[#This Row],[date_resign]],"YYYY-MM-DD")</f>
        <v>Null</v>
      </c>
      <c r="W8" s="13" t="str">
        <f>IF(EMPLOYEE[[#This Row],[date_resign]]="NULL","Employee","Resigned")</f>
        <v>Employee</v>
      </c>
      <c r="X8" s="22" t="s">
        <v>310</v>
      </c>
      <c r="Y8" s="18" t="s">
        <v>277</v>
      </c>
      <c r="Z8" s="67" t="s">
        <v>287</v>
      </c>
    </row>
    <row r="9" spans="1:26" x14ac:dyDescent="0.2">
      <c r="A9" s="3" t="s">
        <v>558</v>
      </c>
      <c r="B9" s="13">
        <v>211054</v>
      </c>
      <c r="C9" s="14" t="s">
        <v>222</v>
      </c>
      <c r="D9" s="15" t="s">
        <v>73</v>
      </c>
      <c r="E9" s="67" t="str">
        <f>_xlfn.IFNA(VLOOKUP(EMPLOYEE[[#This Row],[id_level]],LEVEL[],2,0),"")</f>
        <v>Supervisor</v>
      </c>
      <c r="F9" s="16">
        <v>11000000</v>
      </c>
      <c r="G9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SO-04010101</v>
      </c>
      <c r="H9" s="15" t="s">
        <v>99</v>
      </c>
      <c r="I9" s="15" t="str">
        <f>_xlfn.IFNA(VLOOKUP(EMPLOYEE[[#This Row],[id_dir]],DIRECTORATE[],2,0),"")</f>
        <v>Chief Technology Officer</v>
      </c>
      <c r="J9" s="15" t="s">
        <v>125</v>
      </c>
      <c r="K9" s="15" t="str">
        <f>_xlfn.IFNA(VLOOKUP(EMPLOYEE[[#This Row],[id_div]],DIVISION[],2,0),"")</f>
        <v>Information Technology</v>
      </c>
      <c r="L9" s="15" t="s">
        <v>241</v>
      </c>
      <c r="M9" s="15" t="str">
        <f>_xlfn.IFNA(VLOOKUP(EMPLOYEE[[#This Row],[id_dep]],DIVISION5[],2,0),"")</f>
        <v>IT Application</v>
      </c>
      <c r="N9" s="15" t="s">
        <v>189</v>
      </c>
      <c r="O9" s="15" t="str">
        <f>_xlfn.IFNA(VLOOKUP(EMPLOYEE[[#This Row],[id_sub]],DIVISION56[],2,0),"")</f>
        <v>IT Application</v>
      </c>
      <c r="P9" s="15" t="s">
        <v>785</v>
      </c>
      <c r="Q9" s="15" t="s">
        <v>255</v>
      </c>
      <c r="R9" s="15" t="s">
        <v>253</v>
      </c>
      <c r="S9" s="17">
        <v>44508</v>
      </c>
      <c r="T9" s="17" t="str">
        <f>TEXT(EMPLOYEE[[#This Row],[date_hiring]],"YYYY-MM-DD")</f>
        <v>2021-11-08</v>
      </c>
      <c r="U9" s="17">
        <v>45926</v>
      </c>
      <c r="V9" s="17" t="str">
        <f>TEXT(EMPLOYEE[[#This Row],[date_resign]],"YYYY-MM-DD")</f>
        <v>2025-09-26</v>
      </c>
      <c r="W9" s="13" t="str">
        <f>IF(EMPLOYEE[[#This Row],[date_resign]]="NULL","Employee","Resigned")</f>
        <v>Resigned</v>
      </c>
      <c r="X9" s="22" t="s">
        <v>308</v>
      </c>
      <c r="Y9" s="18"/>
      <c r="Z9" s="67"/>
    </row>
    <row r="10" spans="1:26" x14ac:dyDescent="0.2">
      <c r="A10" s="3" t="s">
        <v>558</v>
      </c>
      <c r="B10" s="13">
        <v>220909</v>
      </c>
      <c r="C10" s="14" t="s">
        <v>223</v>
      </c>
      <c r="D10" s="15" t="s">
        <v>73</v>
      </c>
      <c r="E10" s="67" t="str">
        <f>_xlfn.IFNA(VLOOKUP(EMPLOYEE[[#This Row],[id_level]],LEVEL[],2,0),"")</f>
        <v>Supervisor</v>
      </c>
      <c r="F10" s="16">
        <v>6500000</v>
      </c>
      <c r="G10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SO-04010101</v>
      </c>
      <c r="H10" s="15" t="s">
        <v>99</v>
      </c>
      <c r="I10" s="15" t="str">
        <f>_xlfn.IFNA(VLOOKUP(EMPLOYEE[[#This Row],[id_dir]],DIRECTORATE[],2,0),"")</f>
        <v>Chief Technology Officer</v>
      </c>
      <c r="J10" s="15" t="s">
        <v>125</v>
      </c>
      <c r="K10" s="15" t="str">
        <f>_xlfn.IFNA(VLOOKUP(EMPLOYEE[[#This Row],[id_div]],DIVISION[],2,0),"")</f>
        <v>Information Technology</v>
      </c>
      <c r="L10" s="15" t="s">
        <v>241</v>
      </c>
      <c r="M10" s="15" t="str">
        <f>_xlfn.IFNA(VLOOKUP(EMPLOYEE[[#This Row],[id_dep]],DIVISION5[],2,0),"")</f>
        <v>IT Application</v>
      </c>
      <c r="N10" s="15" t="s">
        <v>189</v>
      </c>
      <c r="O10" s="15" t="str">
        <f>_xlfn.IFNA(VLOOKUP(EMPLOYEE[[#This Row],[id_sub]],DIVISION56[],2,0),"")</f>
        <v>IT Application</v>
      </c>
      <c r="P10" s="15" t="s">
        <v>785</v>
      </c>
      <c r="Q10" s="15" t="s">
        <v>255</v>
      </c>
      <c r="R10" s="15" t="s">
        <v>253</v>
      </c>
      <c r="S10" s="17">
        <v>44743</v>
      </c>
      <c r="T10" s="17" t="str">
        <f>TEXT(EMPLOYEE[[#This Row],[date_hiring]],"YYYY-MM-DD")</f>
        <v>2022-07-01</v>
      </c>
      <c r="U10" s="17" t="s">
        <v>258</v>
      </c>
      <c r="V10" s="17" t="str">
        <f>TEXT(EMPLOYEE[[#This Row],[date_resign]],"YYYY-MM-DD")</f>
        <v>Null</v>
      </c>
      <c r="W10" s="13" t="str">
        <f>IF(EMPLOYEE[[#This Row],[date_resign]]="NULL","Employee","Resigned")</f>
        <v>Employee</v>
      </c>
      <c r="X10" s="22" t="s">
        <v>311</v>
      </c>
      <c r="Y10" s="18" t="s">
        <v>276</v>
      </c>
      <c r="Z10" s="67" t="s">
        <v>288</v>
      </c>
    </row>
    <row r="11" spans="1:26" x14ac:dyDescent="0.2">
      <c r="A11" s="3" t="s">
        <v>558</v>
      </c>
      <c r="B11" s="13">
        <v>150821</v>
      </c>
      <c r="C11" s="14" t="s">
        <v>224</v>
      </c>
      <c r="D11" s="15" t="s">
        <v>69</v>
      </c>
      <c r="E11" s="67" t="str">
        <f>_xlfn.IFNA(VLOOKUP(EMPLOYEE[[#This Row],[id_level]],LEVEL[],2,0),"")</f>
        <v>Manager</v>
      </c>
      <c r="F11" s="16">
        <v>20000000</v>
      </c>
      <c r="G11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SO-04010200</v>
      </c>
      <c r="H11" s="15" t="s">
        <v>99</v>
      </c>
      <c r="I11" s="15" t="str">
        <f>_xlfn.IFNA(VLOOKUP(EMPLOYEE[[#This Row],[id_dir]],DIRECTORATE[],2,0),"")</f>
        <v>Chief Technology Officer</v>
      </c>
      <c r="J11" s="15" t="s">
        <v>125</v>
      </c>
      <c r="K11" s="15" t="str">
        <f>_xlfn.IFNA(VLOOKUP(EMPLOYEE[[#This Row],[id_div]],DIVISION[],2,0),"")</f>
        <v>Information Technology</v>
      </c>
      <c r="L11" s="15" t="s">
        <v>242</v>
      </c>
      <c r="M11" s="15" t="str">
        <f>_xlfn.IFNA(VLOOKUP(EMPLOYEE[[#This Row],[id_dep]],DIVISION5[],2,0),"")</f>
        <v>IT Infrastructure</v>
      </c>
      <c r="N11" s="15" t="s">
        <v>188</v>
      </c>
      <c r="O11" s="15" t="str">
        <f>_xlfn.IFNA(VLOOKUP(EMPLOYEE[[#This Row],[id_sub]],DIVISION56[],2,0),"")</f>
        <v>EMPTY</v>
      </c>
      <c r="P11" s="15" t="s">
        <v>785</v>
      </c>
      <c r="Q11" s="15" t="s">
        <v>255</v>
      </c>
      <c r="R11" s="15" t="s">
        <v>253</v>
      </c>
      <c r="S11" s="17">
        <v>42275</v>
      </c>
      <c r="T11" s="17" t="str">
        <f>TEXT(EMPLOYEE[[#This Row],[date_hiring]],"YYYY-MM-DD")</f>
        <v>2015-09-28</v>
      </c>
      <c r="U11" s="17" t="s">
        <v>258</v>
      </c>
      <c r="V11" s="17" t="str">
        <f>TEXT(EMPLOYEE[[#This Row],[date_resign]],"YYYY-MM-DD")</f>
        <v>Null</v>
      </c>
      <c r="W11" s="13" t="str">
        <f>IF(EMPLOYEE[[#This Row],[date_resign]]="NULL","Employee","Resigned")</f>
        <v>Employee</v>
      </c>
      <c r="X11" s="22" t="s">
        <v>312</v>
      </c>
      <c r="Y11" s="18" t="s">
        <v>271</v>
      </c>
      <c r="Z11" s="67" t="s">
        <v>289</v>
      </c>
    </row>
    <row r="12" spans="1:26" x14ac:dyDescent="0.2">
      <c r="A12" s="3" t="s">
        <v>558</v>
      </c>
      <c r="B12" s="13">
        <v>220163</v>
      </c>
      <c r="C12" s="14" t="s">
        <v>225</v>
      </c>
      <c r="D12" s="15" t="s">
        <v>73</v>
      </c>
      <c r="E12" s="67" t="str">
        <f>_xlfn.IFNA(VLOOKUP(EMPLOYEE[[#This Row],[id_level]],LEVEL[],2,0),"")</f>
        <v>Supervisor</v>
      </c>
      <c r="F12" s="16">
        <v>8000000</v>
      </c>
      <c r="G12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SO-04010200</v>
      </c>
      <c r="H12" s="15" t="s">
        <v>99</v>
      </c>
      <c r="I12" s="15" t="str">
        <f>_xlfn.IFNA(VLOOKUP(EMPLOYEE[[#This Row],[id_dir]],DIRECTORATE[],2,0),"")</f>
        <v>Chief Technology Officer</v>
      </c>
      <c r="J12" s="15" t="s">
        <v>125</v>
      </c>
      <c r="K12" s="15" t="str">
        <f>_xlfn.IFNA(VLOOKUP(EMPLOYEE[[#This Row],[id_div]],DIVISION[],2,0),"")</f>
        <v>Information Technology</v>
      </c>
      <c r="L12" s="15" t="s">
        <v>242</v>
      </c>
      <c r="M12" s="15" t="str">
        <f>_xlfn.IFNA(VLOOKUP(EMPLOYEE[[#This Row],[id_dep]],DIVISION5[],2,0),"")</f>
        <v>IT Infrastructure</v>
      </c>
      <c r="N12" s="15" t="s">
        <v>188</v>
      </c>
      <c r="O12" s="15" t="str">
        <f>_xlfn.IFNA(VLOOKUP(EMPLOYEE[[#This Row],[id_sub]],DIVISION56[],2,0),"")</f>
        <v>EMPTY</v>
      </c>
      <c r="P12" s="15" t="s">
        <v>785</v>
      </c>
      <c r="Q12" s="15" t="s">
        <v>255</v>
      </c>
      <c r="R12" s="15" t="s">
        <v>253</v>
      </c>
      <c r="S12" s="17">
        <v>44276</v>
      </c>
      <c r="T12" s="17" t="str">
        <f>TEXT(EMPLOYEE[[#This Row],[date_hiring]],"YYYY-MM-DD")</f>
        <v>2021-03-21</v>
      </c>
      <c r="U12" s="17">
        <v>44988</v>
      </c>
      <c r="V12" s="17" t="str">
        <f>TEXT(EMPLOYEE[[#This Row],[date_resign]],"YYYY-MM-DD")</f>
        <v>2023-03-03</v>
      </c>
      <c r="W12" s="13" t="str">
        <f>IF(EMPLOYEE[[#This Row],[date_resign]]="NULL","Employee","Resigned")</f>
        <v>Resigned</v>
      </c>
      <c r="X12" s="22" t="s">
        <v>308</v>
      </c>
      <c r="Y12" s="18"/>
      <c r="Z12" s="67"/>
    </row>
    <row r="13" spans="1:26" x14ac:dyDescent="0.2">
      <c r="A13" s="3" t="s">
        <v>558</v>
      </c>
      <c r="B13" s="13">
        <v>200264</v>
      </c>
      <c r="C13" s="14" t="s">
        <v>226</v>
      </c>
      <c r="D13" s="15" t="s">
        <v>78</v>
      </c>
      <c r="E13" s="67" t="str">
        <f>_xlfn.IFNA(VLOOKUP(EMPLOYEE[[#This Row],[id_level]],LEVEL[],2,0),"")</f>
        <v>Staff</v>
      </c>
      <c r="F13" s="16">
        <v>6000000</v>
      </c>
      <c r="G13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SO-04010305</v>
      </c>
      <c r="H13" s="15" t="s">
        <v>99</v>
      </c>
      <c r="I13" s="15" t="str">
        <f>_xlfn.IFNA(VLOOKUP(EMPLOYEE[[#This Row],[id_dir]],DIRECTORATE[],2,0),"")</f>
        <v>Chief Technology Officer</v>
      </c>
      <c r="J13" s="15" t="s">
        <v>125</v>
      </c>
      <c r="K13" s="15" t="str">
        <f>_xlfn.IFNA(VLOOKUP(EMPLOYEE[[#This Row],[id_div]],DIVISION[],2,0),"")</f>
        <v>Information Technology</v>
      </c>
      <c r="L13" s="15" t="s">
        <v>243</v>
      </c>
      <c r="M13" s="15" t="str">
        <f>_xlfn.IFNA(VLOOKUP(EMPLOYEE[[#This Row],[id_dep]],DIVISION5[],2,0),"")</f>
        <v>IT Operation &amp; Project</v>
      </c>
      <c r="N13" s="15" t="s">
        <v>193</v>
      </c>
      <c r="O13" s="15" t="str">
        <f>_xlfn.IFNA(VLOOKUP(EMPLOYEE[[#This Row],[id_sub]],DIVISION56[],2,0),"")</f>
        <v>IT Operation</v>
      </c>
      <c r="P13" s="15" t="s">
        <v>785</v>
      </c>
      <c r="Q13" s="15" t="s">
        <v>256</v>
      </c>
      <c r="R13" s="15" t="s">
        <v>253</v>
      </c>
      <c r="S13" s="17">
        <v>43893</v>
      </c>
      <c r="T13" s="17" t="str">
        <f>TEXT(EMPLOYEE[[#This Row],[date_hiring]],"YYYY-MM-DD")</f>
        <v>2020-03-03</v>
      </c>
      <c r="U13" s="17">
        <v>45008</v>
      </c>
      <c r="V13" s="17" t="str">
        <f>TEXT(EMPLOYEE[[#This Row],[date_resign]],"YYYY-MM-DD")</f>
        <v>2023-03-23</v>
      </c>
      <c r="W13" s="13" t="str">
        <f>IF(EMPLOYEE[[#This Row],[date_resign]]="NULL","Employee","Resigned")</f>
        <v>Resigned</v>
      </c>
      <c r="X13" s="22" t="s">
        <v>308</v>
      </c>
      <c r="Y13" s="18"/>
      <c r="Z13" s="67"/>
    </row>
    <row r="14" spans="1:26" x14ac:dyDescent="0.2">
      <c r="A14" s="3" t="s">
        <v>558</v>
      </c>
      <c r="B14" s="13">
        <v>220290</v>
      </c>
      <c r="C14" s="14" t="s">
        <v>227</v>
      </c>
      <c r="D14" s="15" t="s">
        <v>73</v>
      </c>
      <c r="E14" s="67" t="str">
        <f>_xlfn.IFNA(VLOOKUP(EMPLOYEE[[#This Row],[id_level]],LEVEL[],2,0),"")</f>
        <v>Supervisor</v>
      </c>
      <c r="F14" s="16">
        <v>9000000</v>
      </c>
      <c r="G14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SO-04010202</v>
      </c>
      <c r="H14" s="15" t="s">
        <v>99</v>
      </c>
      <c r="I14" s="15" t="str">
        <f>_xlfn.IFNA(VLOOKUP(EMPLOYEE[[#This Row],[id_dir]],DIRECTORATE[],2,0),"")</f>
        <v>Chief Technology Officer</v>
      </c>
      <c r="J14" s="15" t="s">
        <v>125</v>
      </c>
      <c r="K14" s="15" t="str">
        <f>_xlfn.IFNA(VLOOKUP(EMPLOYEE[[#This Row],[id_div]],DIVISION[],2,0),"")</f>
        <v>Information Technology</v>
      </c>
      <c r="L14" s="15" t="s">
        <v>242</v>
      </c>
      <c r="M14" s="15" t="str">
        <f>_xlfn.IFNA(VLOOKUP(EMPLOYEE[[#This Row],[id_dep]],DIVISION5[],2,0),"")</f>
        <v>IT Infrastructure</v>
      </c>
      <c r="N14" s="15" t="s">
        <v>190</v>
      </c>
      <c r="O14" s="15" t="str">
        <f>_xlfn.IFNA(VLOOKUP(EMPLOYEE[[#This Row],[id_sub]],DIVISION56[],2,0),"")</f>
        <v>IT Network</v>
      </c>
      <c r="P14" s="15" t="s">
        <v>785</v>
      </c>
      <c r="Q14" s="15" t="s">
        <v>255</v>
      </c>
      <c r="R14" s="15" t="s">
        <v>253</v>
      </c>
      <c r="S14" s="17">
        <v>44621</v>
      </c>
      <c r="T14" s="17" t="str">
        <f>TEXT(EMPLOYEE[[#This Row],[date_hiring]],"YYYY-MM-DD")</f>
        <v>2022-03-01</v>
      </c>
      <c r="U14" s="17" t="s">
        <v>258</v>
      </c>
      <c r="V14" s="17" t="str">
        <f>TEXT(EMPLOYEE[[#This Row],[date_resign]],"YYYY-MM-DD")</f>
        <v>Null</v>
      </c>
      <c r="W14" s="13" t="str">
        <f>IF(EMPLOYEE[[#This Row],[date_resign]]="NULL","Employee","Resigned")</f>
        <v>Employee</v>
      </c>
      <c r="X14" s="22" t="s">
        <v>313</v>
      </c>
      <c r="Y14" s="18" t="s">
        <v>264</v>
      </c>
      <c r="Z14" s="67" t="s">
        <v>290</v>
      </c>
    </row>
    <row r="15" spans="1:26" x14ac:dyDescent="0.2">
      <c r="A15" s="3" t="s">
        <v>558</v>
      </c>
      <c r="B15" s="13">
        <v>241489</v>
      </c>
      <c r="C15" s="14" t="s">
        <v>228</v>
      </c>
      <c r="D15" s="15" t="s">
        <v>78</v>
      </c>
      <c r="E15" s="67" t="str">
        <f>_xlfn.IFNA(VLOOKUP(EMPLOYEE[[#This Row],[id_level]],LEVEL[],2,0),"")</f>
        <v>Staff</v>
      </c>
      <c r="F15" s="16">
        <v>7500000</v>
      </c>
      <c r="G15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SO-04010202</v>
      </c>
      <c r="H15" s="15" t="s">
        <v>99</v>
      </c>
      <c r="I15" s="15" t="str">
        <f>_xlfn.IFNA(VLOOKUP(EMPLOYEE[[#This Row],[id_dir]],DIRECTORATE[],2,0),"")</f>
        <v>Chief Technology Officer</v>
      </c>
      <c r="J15" s="15" t="s">
        <v>125</v>
      </c>
      <c r="K15" s="15" t="str">
        <f>_xlfn.IFNA(VLOOKUP(EMPLOYEE[[#This Row],[id_div]],DIVISION[],2,0),"")</f>
        <v>Information Technology</v>
      </c>
      <c r="L15" s="15" t="s">
        <v>242</v>
      </c>
      <c r="M15" s="15" t="str">
        <f>_xlfn.IFNA(VLOOKUP(EMPLOYEE[[#This Row],[id_dep]],DIVISION5[],2,0),"")</f>
        <v>IT Infrastructure</v>
      </c>
      <c r="N15" s="15" t="s">
        <v>190</v>
      </c>
      <c r="O15" s="15" t="str">
        <f>_xlfn.IFNA(VLOOKUP(EMPLOYEE[[#This Row],[id_sub]],DIVISION56[],2,0),"")</f>
        <v>IT Network</v>
      </c>
      <c r="P15" s="15" t="s">
        <v>785</v>
      </c>
      <c r="Q15" s="15" t="s">
        <v>254</v>
      </c>
      <c r="R15" s="15" t="s">
        <v>253</v>
      </c>
      <c r="S15" s="17">
        <v>45523</v>
      </c>
      <c r="T15" s="17" t="str">
        <f>TEXT(EMPLOYEE[[#This Row],[date_hiring]],"YYYY-MM-DD")</f>
        <v>2024-08-19</v>
      </c>
      <c r="U15" s="17">
        <v>45877</v>
      </c>
      <c r="V15" s="17" t="str">
        <f>TEXT(EMPLOYEE[[#This Row],[date_resign]],"YYYY-MM-DD")</f>
        <v>2025-08-08</v>
      </c>
      <c r="W15" s="13" t="str">
        <f>IF(EMPLOYEE[[#This Row],[date_resign]]="NULL","Employee","Resigned")</f>
        <v>Resigned</v>
      </c>
      <c r="X15" s="22" t="s">
        <v>308</v>
      </c>
      <c r="Y15" s="18"/>
      <c r="Z15" s="67"/>
    </row>
    <row r="16" spans="1:26" x14ac:dyDescent="0.2">
      <c r="A16" s="3" t="s">
        <v>558</v>
      </c>
      <c r="B16" s="13">
        <v>180426</v>
      </c>
      <c r="C16" s="14" t="s">
        <v>229</v>
      </c>
      <c r="D16" s="15" t="s">
        <v>73</v>
      </c>
      <c r="E16" s="67" t="str">
        <f>_xlfn.IFNA(VLOOKUP(EMPLOYEE[[#This Row],[id_level]],LEVEL[],2,0),"")</f>
        <v>Supervisor</v>
      </c>
      <c r="F16" s="16">
        <v>13000000</v>
      </c>
      <c r="G16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SO-04010203</v>
      </c>
      <c r="H16" s="15" t="s">
        <v>99</v>
      </c>
      <c r="I16" s="15" t="str">
        <f>_xlfn.IFNA(VLOOKUP(EMPLOYEE[[#This Row],[id_dir]],DIRECTORATE[],2,0),"")</f>
        <v>Chief Technology Officer</v>
      </c>
      <c r="J16" s="15" t="s">
        <v>125</v>
      </c>
      <c r="K16" s="15" t="str">
        <f>_xlfn.IFNA(VLOOKUP(EMPLOYEE[[#This Row],[id_div]],DIVISION[],2,0),"")</f>
        <v>Information Technology</v>
      </c>
      <c r="L16" s="15" t="s">
        <v>242</v>
      </c>
      <c r="M16" s="15" t="str">
        <f>_xlfn.IFNA(VLOOKUP(EMPLOYEE[[#This Row],[id_dep]],DIVISION5[],2,0),"")</f>
        <v>IT Infrastructure</v>
      </c>
      <c r="N16" s="15" t="s">
        <v>191</v>
      </c>
      <c r="O16" s="15" t="str">
        <f>_xlfn.IFNA(VLOOKUP(EMPLOYEE[[#This Row],[id_sub]],DIVISION56[],2,0),"")</f>
        <v>IT Server</v>
      </c>
      <c r="P16" s="15" t="s">
        <v>785</v>
      </c>
      <c r="Q16" s="15" t="s">
        <v>254</v>
      </c>
      <c r="R16" s="15" t="s">
        <v>257</v>
      </c>
      <c r="S16" s="17">
        <v>43178</v>
      </c>
      <c r="T16" s="17" t="str">
        <f>TEXT(EMPLOYEE[[#This Row],[date_hiring]],"YYYY-MM-DD")</f>
        <v>2018-03-19</v>
      </c>
      <c r="U16" s="17" t="s">
        <v>258</v>
      </c>
      <c r="V16" s="17" t="str">
        <f>TEXT(EMPLOYEE[[#This Row],[date_resign]],"YYYY-MM-DD")</f>
        <v>Null</v>
      </c>
      <c r="W16" s="13" t="str">
        <f>IF(EMPLOYEE[[#This Row],[date_resign]]="NULL","Employee","Resigned")</f>
        <v>Employee</v>
      </c>
      <c r="X16" s="22" t="s">
        <v>314</v>
      </c>
      <c r="Y16" s="18" t="s">
        <v>267</v>
      </c>
      <c r="Z16" s="67" t="s">
        <v>291</v>
      </c>
    </row>
    <row r="17" spans="1:26" x14ac:dyDescent="0.2">
      <c r="A17" s="3" t="s">
        <v>558</v>
      </c>
      <c r="B17" s="13">
        <v>221284</v>
      </c>
      <c r="C17" s="14" t="s">
        <v>230</v>
      </c>
      <c r="D17" s="15" t="s">
        <v>78</v>
      </c>
      <c r="E17" s="67" t="str">
        <f>_xlfn.IFNA(VLOOKUP(EMPLOYEE[[#This Row],[id_level]],LEVEL[],2,0),"")</f>
        <v>Staff</v>
      </c>
      <c r="F17" s="16">
        <v>7500000</v>
      </c>
      <c r="G17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SO-04010203</v>
      </c>
      <c r="H17" s="15" t="s">
        <v>99</v>
      </c>
      <c r="I17" s="15" t="str">
        <f>_xlfn.IFNA(VLOOKUP(EMPLOYEE[[#This Row],[id_dir]],DIRECTORATE[],2,0),"")</f>
        <v>Chief Technology Officer</v>
      </c>
      <c r="J17" s="15" t="s">
        <v>125</v>
      </c>
      <c r="K17" s="15" t="str">
        <f>_xlfn.IFNA(VLOOKUP(EMPLOYEE[[#This Row],[id_div]],DIVISION[],2,0),"")</f>
        <v>Information Technology</v>
      </c>
      <c r="L17" s="15" t="s">
        <v>242</v>
      </c>
      <c r="M17" s="15" t="str">
        <f>_xlfn.IFNA(VLOOKUP(EMPLOYEE[[#This Row],[id_dep]],DIVISION5[],2,0),"")</f>
        <v>IT Infrastructure</v>
      </c>
      <c r="N17" s="15" t="s">
        <v>191</v>
      </c>
      <c r="O17" s="15" t="str">
        <f>_xlfn.IFNA(VLOOKUP(EMPLOYEE[[#This Row],[id_sub]],DIVISION56[],2,0),"")</f>
        <v>IT Server</v>
      </c>
      <c r="P17" s="15" t="s">
        <v>785</v>
      </c>
      <c r="Q17" s="15" t="s">
        <v>840</v>
      </c>
      <c r="R17" s="15" t="s">
        <v>253</v>
      </c>
      <c r="S17" s="17">
        <v>44805</v>
      </c>
      <c r="T17" s="17" t="str">
        <f>TEXT(EMPLOYEE[[#This Row],[date_hiring]],"YYYY-MM-DD")</f>
        <v>2022-09-01</v>
      </c>
      <c r="U17" s="17" t="s">
        <v>258</v>
      </c>
      <c r="V17" s="17" t="str">
        <f>TEXT(EMPLOYEE[[#This Row],[date_resign]],"YYYY-MM-DD")</f>
        <v>Null</v>
      </c>
      <c r="W17" s="13" t="str">
        <f>IF(EMPLOYEE[[#This Row],[date_resign]]="NULL","Employee","Resigned")</f>
        <v>Employee</v>
      </c>
      <c r="X17" s="22" t="s">
        <v>315</v>
      </c>
      <c r="Y17" s="18" t="s">
        <v>265</v>
      </c>
      <c r="Z17" s="67" t="s">
        <v>292</v>
      </c>
    </row>
    <row r="18" spans="1:26" x14ac:dyDescent="0.2">
      <c r="A18" s="3" t="s">
        <v>558</v>
      </c>
      <c r="B18" s="13">
        <v>100822</v>
      </c>
      <c r="C18" s="14" t="s">
        <v>231</v>
      </c>
      <c r="D18" s="15" t="s">
        <v>69</v>
      </c>
      <c r="E18" s="67" t="str">
        <f>_xlfn.IFNA(VLOOKUP(EMPLOYEE[[#This Row],[id_level]],LEVEL[],2,0),"")</f>
        <v>Manager</v>
      </c>
      <c r="F18" s="16">
        <v>26000000</v>
      </c>
      <c r="G18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SO-04010300</v>
      </c>
      <c r="H18" s="15" t="s">
        <v>99</v>
      </c>
      <c r="I18" s="15" t="str">
        <f>_xlfn.IFNA(VLOOKUP(EMPLOYEE[[#This Row],[id_dir]],DIRECTORATE[],2,0),"")</f>
        <v>Chief Technology Officer</v>
      </c>
      <c r="J18" s="15" t="s">
        <v>125</v>
      </c>
      <c r="K18" s="15" t="str">
        <f>_xlfn.IFNA(VLOOKUP(EMPLOYEE[[#This Row],[id_div]],DIVISION[],2,0),"")</f>
        <v>Information Technology</v>
      </c>
      <c r="L18" s="15" t="s">
        <v>243</v>
      </c>
      <c r="M18" s="15" t="str">
        <f>_xlfn.IFNA(VLOOKUP(EMPLOYEE[[#This Row],[id_dep]],DIVISION5[],2,0),"")</f>
        <v>IT Operation &amp; Project</v>
      </c>
      <c r="N18" s="15" t="s">
        <v>188</v>
      </c>
      <c r="O18" s="15" t="str">
        <f>_xlfn.IFNA(VLOOKUP(EMPLOYEE[[#This Row],[id_sub]],DIVISION56[],2,0),"")</f>
        <v>EMPTY</v>
      </c>
      <c r="P18" s="15" t="s">
        <v>785</v>
      </c>
      <c r="Q18" s="15" t="s">
        <v>255</v>
      </c>
      <c r="R18" s="15" t="s">
        <v>253</v>
      </c>
      <c r="S18" s="17">
        <v>38498</v>
      </c>
      <c r="T18" s="17" t="str">
        <f>TEXT(EMPLOYEE[[#This Row],[date_hiring]],"YYYY-MM-DD")</f>
        <v>2005-05-26</v>
      </c>
      <c r="U18" s="17" t="s">
        <v>258</v>
      </c>
      <c r="V18" s="17" t="str">
        <f>TEXT(EMPLOYEE[[#This Row],[date_resign]],"YYYY-MM-DD")</f>
        <v>Null</v>
      </c>
      <c r="W18" s="13" t="str">
        <f>IF(EMPLOYEE[[#This Row],[date_resign]]="NULL","Employee","Resigned")</f>
        <v>Employee</v>
      </c>
      <c r="X18" s="22" t="s">
        <v>316</v>
      </c>
      <c r="Y18" s="18" t="s">
        <v>270</v>
      </c>
      <c r="Z18" s="67" t="s">
        <v>293</v>
      </c>
    </row>
    <row r="19" spans="1:26" x14ac:dyDescent="0.2">
      <c r="A19" s="3" t="s">
        <v>558</v>
      </c>
      <c r="B19" s="13">
        <v>221489</v>
      </c>
      <c r="C19" s="14" t="s">
        <v>232</v>
      </c>
      <c r="D19" s="15" t="s">
        <v>73</v>
      </c>
      <c r="E19" s="67" t="str">
        <f>_xlfn.IFNA(VLOOKUP(EMPLOYEE[[#This Row],[id_level]],LEVEL[],2,0),"")</f>
        <v>Supervisor</v>
      </c>
      <c r="F19" s="16">
        <v>6600000</v>
      </c>
      <c r="G19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SO-04010305</v>
      </c>
      <c r="H19" s="15" t="s">
        <v>99</v>
      </c>
      <c r="I19" s="15" t="str">
        <f>_xlfn.IFNA(VLOOKUP(EMPLOYEE[[#This Row],[id_dir]],DIRECTORATE[],2,0),"")</f>
        <v>Chief Technology Officer</v>
      </c>
      <c r="J19" s="15" t="s">
        <v>125</v>
      </c>
      <c r="K19" s="15" t="str">
        <f>_xlfn.IFNA(VLOOKUP(EMPLOYEE[[#This Row],[id_div]],DIVISION[],2,0),"")</f>
        <v>Information Technology</v>
      </c>
      <c r="L19" s="15" t="s">
        <v>243</v>
      </c>
      <c r="M19" s="15" t="str">
        <f>_xlfn.IFNA(VLOOKUP(EMPLOYEE[[#This Row],[id_dep]],DIVISION5[],2,0),"")</f>
        <v>IT Operation &amp; Project</v>
      </c>
      <c r="N19" s="15" t="s">
        <v>193</v>
      </c>
      <c r="O19" s="15" t="str">
        <f>_xlfn.IFNA(VLOOKUP(EMPLOYEE[[#This Row],[id_sub]],DIVISION56[],2,0),"")</f>
        <v>IT Operation</v>
      </c>
      <c r="P19" s="15" t="s">
        <v>785</v>
      </c>
      <c r="Q19" s="15" t="s">
        <v>839</v>
      </c>
      <c r="R19" s="15" t="s">
        <v>253</v>
      </c>
      <c r="S19" s="17">
        <v>44837</v>
      </c>
      <c r="T19" s="17" t="str">
        <f>TEXT(EMPLOYEE[[#This Row],[date_hiring]],"YYYY-MM-DD")</f>
        <v>2022-10-03</v>
      </c>
      <c r="U19" s="17" t="s">
        <v>258</v>
      </c>
      <c r="V19" s="17" t="str">
        <f>TEXT(EMPLOYEE[[#This Row],[date_resign]],"YYYY-MM-DD")</f>
        <v>Null</v>
      </c>
      <c r="W19" s="13" t="str">
        <f>IF(EMPLOYEE[[#This Row],[date_resign]]="NULL","Employee","Resigned")</f>
        <v>Employee</v>
      </c>
      <c r="X19" s="22" t="s">
        <v>317</v>
      </c>
      <c r="Y19" s="18" t="s">
        <v>262</v>
      </c>
      <c r="Z19" s="67" t="s">
        <v>294</v>
      </c>
    </row>
    <row r="20" spans="1:26" x14ac:dyDescent="0.2">
      <c r="A20" s="3" t="s">
        <v>558</v>
      </c>
      <c r="B20" s="13">
        <v>231399</v>
      </c>
      <c r="C20" s="14" t="s">
        <v>233</v>
      </c>
      <c r="D20" s="15" t="s">
        <v>78</v>
      </c>
      <c r="E20" s="67" t="str">
        <f>_xlfn.IFNA(VLOOKUP(EMPLOYEE[[#This Row],[id_level]],LEVEL[],2,0),"")</f>
        <v>Staff</v>
      </c>
      <c r="F20" s="16">
        <v>6500000</v>
      </c>
      <c r="G20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SO-04010305</v>
      </c>
      <c r="H20" s="15" t="s">
        <v>99</v>
      </c>
      <c r="I20" s="15" t="str">
        <f>_xlfn.IFNA(VLOOKUP(EMPLOYEE[[#This Row],[id_dir]],DIRECTORATE[],2,0),"")</f>
        <v>Chief Technology Officer</v>
      </c>
      <c r="J20" s="15" t="s">
        <v>125</v>
      </c>
      <c r="K20" s="15" t="str">
        <f>_xlfn.IFNA(VLOOKUP(EMPLOYEE[[#This Row],[id_div]],DIVISION[],2,0),"")</f>
        <v>Information Technology</v>
      </c>
      <c r="L20" s="15" t="s">
        <v>243</v>
      </c>
      <c r="M20" s="15" t="str">
        <f>_xlfn.IFNA(VLOOKUP(EMPLOYEE[[#This Row],[id_dep]],DIVISION5[],2,0),"")</f>
        <v>IT Operation &amp; Project</v>
      </c>
      <c r="N20" s="15" t="s">
        <v>193</v>
      </c>
      <c r="O20" s="15" t="str">
        <f>_xlfn.IFNA(VLOOKUP(EMPLOYEE[[#This Row],[id_sub]],DIVISION56[],2,0),"")</f>
        <v>IT Operation</v>
      </c>
      <c r="P20" s="15" t="s">
        <v>785</v>
      </c>
      <c r="Q20" s="15" t="s">
        <v>838</v>
      </c>
      <c r="R20" s="15" t="s">
        <v>253</v>
      </c>
      <c r="S20" s="17">
        <v>45152</v>
      </c>
      <c r="T20" s="17" t="str">
        <f>TEXT(EMPLOYEE[[#This Row],[date_hiring]],"YYYY-MM-DD")</f>
        <v>2023-08-14</v>
      </c>
      <c r="U20" s="17" t="s">
        <v>258</v>
      </c>
      <c r="V20" s="17" t="str">
        <f>TEXT(EMPLOYEE[[#This Row],[date_resign]],"YYYY-MM-DD")</f>
        <v>Null</v>
      </c>
      <c r="W20" s="13" t="str">
        <f>IF(EMPLOYEE[[#This Row],[date_resign]]="NULL","Employee","Resigned")</f>
        <v>Employee</v>
      </c>
      <c r="X20" s="22" t="s">
        <v>318</v>
      </c>
      <c r="Y20" s="18" t="s">
        <v>266</v>
      </c>
      <c r="Z20" s="67" t="s">
        <v>295</v>
      </c>
    </row>
    <row r="21" spans="1:26" x14ac:dyDescent="0.2">
      <c r="A21" s="3" t="s">
        <v>558</v>
      </c>
      <c r="B21" s="13">
        <v>240025</v>
      </c>
      <c r="C21" s="14" t="s">
        <v>234</v>
      </c>
      <c r="D21" s="15" t="s">
        <v>78</v>
      </c>
      <c r="E21" s="67" t="str">
        <f>_xlfn.IFNA(VLOOKUP(EMPLOYEE[[#This Row],[id_level]],LEVEL[],2,0),"")</f>
        <v>Staff</v>
      </c>
      <c r="F21" s="16">
        <v>6000000</v>
      </c>
      <c r="G21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SO-04010305</v>
      </c>
      <c r="H21" s="15" t="s">
        <v>99</v>
      </c>
      <c r="I21" s="15" t="str">
        <f>_xlfn.IFNA(VLOOKUP(EMPLOYEE[[#This Row],[id_dir]],DIRECTORATE[],2,0),"")</f>
        <v>Chief Technology Officer</v>
      </c>
      <c r="J21" s="15" t="s">
        <v>125</v>
      </c>
      <c r="K21" s="15" t="str">
        <f>_xlfn.IFNA(VLOOKUP(EMPLOYEE[[#This Row],[id_div]],DIVISION[],2,0),"")</f>
        <v>Information Technology</v>
      </c>
      <c r="L21" s="15" t="s">
        <v>243</v>
      </c>
      <c r="M21" s="15" t="str">
        <f>_xlfn.IFNA(VLOOKUP(EMPLOYEE[[#This Row],[id_dep]],DIVISION5[],2,0),"")</f>
        <v>IT Operation &amp; Project</v>
      </c>
      <c r="N21" s="15" t="s">
        <v>193</v>
      </c>
      <c r="O21" s="15" t="str">
        <f>_xlfn.IFNA(VLOOKUP(EMPLOYEE[[#This Row],[id_sub]],DIVISION56[],2,0),"")</f>
        <v>IT Operation</v>
      </c>
      <c r="P21" s="15" t="s">
        <v>785</v>
      </c>
      <c r="Q21" s="15" t="s">
        <v>379</v>
      </c>
      <c r="R21" s="15" t="s">
        <v>253</v>
      </c>
      <c r="S21" s="17">
        <v>45299</v>
      </c>
      <c r="T21" s="17" t="str">
        <f>TEXT(EMPLOYEE[[#This Row],[date_hiring]],"YYYY-MM-DD")</f>
        <v>2024-01-08</v>
      </c>
      <c r="U21" s="17">
        <v>45902</v>
      </c>
      <c r="V21" s="17" t="str">
        <f>TEXT(EMPLOYEE[[#This Row],[date_resign]],"YYYY-MM-DD")</f>
        <v>2025-09-02</v>
      </c>
      <c r="W21" s="13" t="str">
        <f>IF(EMPLOYEE[[#This Row],[date_resign]]="NULL","Employee","Resigned")</f>
        <v>Resigned</v>
      </c>
      <c r="X21" s="22" t="s">
        <v>308</v>
      </c>
      <c r="Y21" s="18"/>
      <c r="Z21" s="67"/>
    </row>
    <row r="22" spans="1:26" x14ac:dyDescent="0.2">
      <c r="A22" s="3" t="s">
        <v>558</v>
      </c>
      <c r="B22" s="13">
        <v>241681</v>
      </c>
      <c r="C22" s="14" t="s">
        <v>235</v>
      </c>
      <c r="D22" s="15" t="s">
        <v>78</v>
      </c>
      <c r="E22" s="67" t="str">
        <f>_xlfn.IFNA(VLOOKUP(EMPLOYEE[[#This Row],[id_level]],LEVEL[],2,0),"")</f>
        <v>Staff</v>
      </c>
      <c r="F22" s="16">
        <v>6000000</v>
      </c>
      <c r="G22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SO-04010305</v>
      </c>
      <c r="H22" s="15" t="s">
        <v>99</v>
      </c>
      <c r="I22" s="15" t="str">
        <f>_xlfn.IFNA(VLOOKUP(EMPLOYEE[[#This Row],[id_dir]],DIRECTORATE[],2,0),"")</f>
        <v>Chief Technology Officer</v>
      </c>
      <c r="J22" s="15" t="s">
        <v>125</v>
      </c>
      <c r="K22" s="15" t="str">
        <f>_xlfn.IFNA(VLOOKUP(EMPLOYEE[[#This Row],[id_div]],DIVISION[],2,0),"")</f>
        <v>Information Technology</v>
      </c>
      <c r="L22" s="15" t="s">
        <v>243</v>
      </c>
      <c r="M22" s="15" t="str">
        <f>_xlfn.IFNA(VLOOKUP(EMPLOYEE[[#This Row],[id_dep]],DIVISION5[],2,0),"")</f>
        <v>IT Operation &amp; Project</v>
      </c>
      <c r="N22" s="15" t="s">
        <v>193</v>
      </c>
      <c r="O22" s="15" t="str">
        <f>_xlfn.IFNA(VLOOKUP(EMPLOYEE[[#This Row],[id_sub]],DIVISION56[],2,0),"")</f>
        <v>IT Operation</v>
      </c>
      <c r="P22" s="15" t="s">
        <v>785</v>
      </c>
      <c r="Q22" s="15" t="s">
        <v>840</v>
      </c>
      <c r="R22" s="15" t="s">
        <v>253</v>
      </c>
      <c r="S22" s="17">
        <v>45552</v>
      </c>
      <c r="T22" s="17" t="str">
        <f>TEXT(EMPLOYEE[[#This Row],[date_hiring]],"YYYY-MM-DD")</f>
        <v>2024-09-17</v>
      </c>
      <c r="U22" s="17">
        <v>46024</v>
      </c>
      <c r="V22" s="17" t="str">
        <f>TEXT(EMPLOYEE[[#This Row],[date_resign]],"YYYY-MM-DD")</f>
        <v>2026-01-02</v>
      </c>
      <c r="W22" s="13" t="str">
        <f>IF(EMPLOYEE[[#This Row],[date_resign]]="NULL","Employee","Resigned")</f>
        <v>Resigned</v>
      </c>
      <c r="X22" s="22" t="s">
        <v>319</v>
      </c>
      <c r="Y22" s="18" t="s">
        <v>268</v>
      </c>
      <c r="Z22" s="67" t="s">
        <v>296</v>
      </c>
    </row>
    <row r="23" spans="1:26" x14ac:dyDescent="0.2">
      <c r="A23" s="3" t="s">
        <v>558</v>
      </c>
      <c r="B23" s="13">
        <v>241815</v>
      </c>
      <c r="C23" s="14" t="s">
        <v>236</v>
      </c>
      <c r="D23" s="15" t="s">
        <v>78</v>
      </c>
      <c r="E23" s="67" t="str">
        <f>_xlfn.IFNA(VLOOKUP(EMPLOYEE[[#This Row],[id_level]],LEVEL[],2,0),"")</f>
        <v>Staff</v>
      </c>
      <c r="F23" s="16">
        <v>6000000</v>
      </c>
      <c r="G23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SO-04010305</v>
      </c>
      <c r="H23" s="15" t="s">
        <v>99</v>
      </c>
      <c r="I23" s="15" t="str">
        <f>_xlfn.IFNA(VLOOKUP(EMPLOYEE[[#This Row],[id_dir]],DIRECTORATE[],2,0),"")</f>
        <v>Chief Technology Officer</v>
      </c>
      <c r="J23" s="15" t="s">
        <v>125</v>
      </c>
      <c r="K23" s="15" t="str">
        <f>_xlfn.IFNA(VLOOKUP(EMPLOYEE[[#This Row],[id_div]],DIVISION[],2,0),"")</f>
        <v>Information Technology</v>
      </c>
      <c r="L23" s="15" t="s">
        <v>243</v>
      </c>
      <c r="M23" s="15" t="str">
        <f>_xlfn.IFNA(VLOOKUP(EMPLOYEE[[#This Row],[id_dep]],DIVISION5[],2,0),"")</f>
        <v>IT Operation &amp; Project</v>
      </c>
      <c r="N23" s="15" t="s">
        <v>193</v>
      </c>
      <c r="O23" s="15" t="str">
        <f>_xlfn.IFNA(VLOOKUP(EMPLOYEE[[#This Row],[id_sub]],DIVISION56[],2,0),"")</f>
        <v>IT Operation</v>
      </c>
      <c r="P23" s="15" t="s">
        <v>785</v>
      </c>
      <c r="Q23" s="15" t="s">
        <v>841</v>
      </c>
      <c r="R23" s="15" t="s">
        <v>253</v>
      </c>
      <c r="S23" s="17">
        <v>45572</v>
      </c>
      <c r="T23" s="17" t="str">
        <f>TEXT(EMPLOYEE[[#This Row],[date_hiring]],"YYYY-MM-DD")</f>
        <v>2024-10-07</v>
      </c>
      <c r="U23" s="17">
        <v>46185</v>
      </c>
      <c r="V23" s="17" t="str">
        <f>TEXT(EMPLOYEE[[#This Row],[date_resign]],"YYYY-MM-DD")</f>
        <v>2026-06-12</v>
      </c>
      <c r="W23" s="13" t="str">
        <f>IF(EMPLOYEE[[#This Row],[date_resign]]="NULL","Employee","Resigned")</f>
        <v>Resigned</v>
      </c>
      <c r="X23" s="22" t="s">
        <v>320</v>
      </c>
      <c r="Y23" s="18" t="s">
        <v>272</v>
      </c>
      <c r="Z23" s="67" t="s">
        <v>297</v>
      </c>
    </row>
    <row r="24" spans="1:26" x14ac:dyDescent="0.2">
      <c r="A24" s="3" t="s">
        <v>558</v>
      </c>
      <c r="B24" s="13">
        <v>250501</v>
      </c>
      <c r="C24" s="14" t="s">
        <v>237</v>
      </c>
      <c r="D24" s="15" t="s">
        <v>78</v>
      </c>
      <c r="E24" s="67" t="str">
        <f>_xlfn.IFNA(VLOOKUP(EMPLOYEE[[#This Row],[id_level]],LEVEL[],2,0),"")</f>
        <v>Staff</v>
      </c>
      <c r="F24" s="16">
        <v>6000000</v>
      </c>
      <c r="G24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SO-04010305</v>
      </c>
      <c r="H24" s="15" t="s">
        <v>99</v>
      </c>
      <c r="I24" s="15" t="str">
        <f>_xlfn.IFNA(VLOOKUP(EMPLOYEE[[#This Row],[id_dir]],DIRECTORATE[],2,0),"")</f>
        <v>Chief Technology Officer</v>
      </c>
      <c r="J24" s="15" t="s">
        <v>125</v>
      </c>
      <c r="K24" s="15" t="str">
        <f>_xlfn.IFNA(VLOOKUP(EMPLOYEE[[#This Row],[id_div]],DIVISION[],2,0),"")</f>
        <v>Information Technology</v>
      </c>
      <c r="L24" s="15" t="s">
        <v>243</v>
      </c>
      <c r="M24" s="15" t="str">
        <f>_xlfn.IFNA(VLOOKUP(EMPLOYEE[[#This Row],[id_dep]],DIVISION5[],2,0),"")</f>
        <v>IT Operation &amp; Project</v>
      </c>
      <c r="N24" s="15" t="s">
        <v>193</v>
      </c>
      <c r="O24" s="15" t="str">
        <f>_xlfn.IFNA(VLOOKUP(EMPLOYEE[[#This Row],[id_sub]],DIVISION56[],2,0),"")</f>
        <v>IT Operation</v>
      </c>
      <c r="P24" s="15" t="s">
        <v>785</v>
      </c>
      <c r="Q24" s="15" t="s">
        <v>838</v>
      </c>
      <c r="R24" s="15" t="s">
        <v>253</v>
      </c>
      <c r="S24" s="17">
        <v>45782</v>
      </c>
      <c r="T24" s="17" t="str">
        <f>TEXT(EMPLOYEE[[#This Row],[date_hiring]],"YYYY-MM-DD")</f>
        <v>2025-05-05</v>
      </c>
      <c r="U24" s="17">
        <v>46112</v>
      </c>
      <c r="V24" s="17" t="str">
        <f>TEXT(EMPLOYEE[[#This Row],[date_resign]],"YYYY-MM-DD")</f>
        <v>2026-03-31</v>
      </c>
      <c r="W24" s="13" t="str">
        <f>IF(EMPLOYEE[[#This Row],[date_resign]]="NULL","Employee","Resigned")</f>
        <v>Resigned</v>
      </c>
      <c r="X24" s="22" t="s">
        <v>321</v>
      </c>
      <c r="Y24" s="18" t="s">
        <v>274</v>
      </c>
      <c r="Z24" s="67" t="s">
        <v>298</v>
      </c>
    </row>
    <row r="25" spans="1:26" x14ac:dyDescent="0.2">
      <c r="A25" s="3" t="s">
        <v>558</v>
      </c>
      <c r="B25" s="13">
        <v>232054</v>
      </c>
      <c r="C25" s="14" t="s">
        <v>238</v>
      </c>
      <c r="D25" s="15" t="s">
        <v>73</v>
      </c>
      <c r="E25" s="67" t="str">
        <f>_xlfn.IFNA(VLOOKUP(EMPLOYEE[[#This Row],[id_level]],LEVEL[],2,0),"")</f>
        <v>Supervisor</v>
      </c>
      <c r="F25" s="16">
        <v>6000000</v>
      </c>
      <c r="G25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SO-04010305</v>
      </c>
      <c r="H25" s="15" t="s">
        <v>99</v>
      </c>
      <c r="I25" s="15" t="str">
        <f>_xlfn.IFNA(VLOOKUP(EMPLOYEE[[#This Row],[id_dir]],DIRECTORATE[],2,0),"")</f>
        <v>Chief Technology Officer</v>
      </c>
      <c r="J25" s="15" t="s">
        <v>125</v>
      </c>
      <c r="K25" s="15" t="str">
        <f>_xlfn.IFNA(VLOOKUP(EMPLOYEE[[#This Row],[id_div]],DIVISION[],2,0),"")</f>
        <v>Information Technology</v>
      </c>
      <c r="L25" s="15" t="s">
        <v>243</v>
      </c>
      <c r="M25" s="15" t="str">
        <f>_xlfn.IFNA(VLOOKUP(EMPLOYEE[[#This Row],[id_dep]],DIVISION5[],2,0),"")</f>
        <v>IT Operation &amp; Project</v>
      </c>
      <c r="N25" s="15" t="s">
        <v>193</v>
      </c>
      <c r="O25" s="15" t="str">
        <f>_xlfn.IFNA(VLOOKUP(EMPLOYEE[[#This Row],[id_sub]],DIVISION56[],2,0),"")</f>
        <v>IT Operation</v>
      </c>
      <c r="P25" s="15" t="s">
        <v>785</v>
      </c>
      <c r="Q25" s="15" t="s">
        <v>842</v>
      </c>
      <c r="R25" s="15" t="s">
        <v>253</v>
      </c>
      <c r="S25" s="17">
        <v>45243</v>
      </c>
      <c r="T25" s="17" t="str">
        <f>TEXT(EMPLOYEE[[#This Row],[date_hiring]],"YYYY-MM-DD")</f>
        <v>2023-11-13</v>
      </c>
      <c r="U25" s="17" t="s">
        <v>258</v>
      </c>
      <c r="V25" s="17" t="str">
        <f>TEXT(EMPLOYEE[[#This Row],[date_resign]],"YYYY-MM-DD")</f>
        <v>Null</v>
      </c>
      <c r="W25" s="13" t="str">
        <f>IF(EMPLOYEE[[#This Row],[date_resign]]="NULL","Employee","Resigned")</f>
        <v>Employee</v>
      </c>
      <c r="X25" s="22" t="s">
        <v>322</v>
      </c>
      <c r="Y25" s="18" t="s">
        <v>269</v>
      </c>
      <c r="Z25" s="67" t="s">
        <v>299</v>
      </c>
    </row>
    <row r="26" spans="1:26" x14ac:dyDescent="0.2">
      <c r="A26" s="3" t="s">
        <v>558</v>
      </c>
      <c r="B26" s="13">
        <v>250528</v>
      </c>
      <c r="C26" s="14" t="s">
        <v>239</v>
      </c>
      <c r="D26" s="15" t="s">
        <v>69</v>
      </c>
      <c r="E26" s="67" t="str">
        <f>_xlfn.IFNA(VLOOKUP(EMPLOYEE[[#This Row],[id_level]],LEVEL[],2,0),"")</f>
        <v>Manager</v>
      </c>
      <c r="F26" s="16">
        <v>28000000</v>
      </c>
      <c r="G26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SO-04010400</v>
      </c>
      <c r="H26" s="15" t="s">
        <v>99</v>
      </c>
      <c r="I26" s="15" t="str">
        <f>_xlfn.IFNA(VLOOKUP(EMPLOYEE[[#This Row],[id_dir]],DIRECTORATE[],2,0),"")</f>
        <v>Chief Technology Officer</v>
      </c>
      <c r="J26" s="15" t="s">
        <v>125</v>
      </c>
      <c r="K26" s="15" t="str">
        <f>_xlfn.IFNA(VLOOKUP(EMPLOYEE[[#This Row],[id_div]],DIVISION[],2,0),"")</f>
        <v>Information Technology</v>
      </c>
      <c r="L26" s="15" t="s">
        <v>244</v>
      </c>
      <c r="M26" s="15" t="str">
        <f>_xlfn.IFNA(VLOOKUP(EMPLOYEE[[#This Row],[id_dep]],DIVISION5[],2,0),"")</f>
        <v>IT Security &amp; Complience</v>
      </c>
      <c r="N26" s="15" t="s">
        <v>188</v>
      </c>
      <c r="O26" s="15" t="str">
        <f>_xlfn.IFNA(VLOOKUP(EMPLOYEE[[#This Row],[id_sub]],DIVISION56[],2,0),"")</f>
        <v>EMPTY</v>
      </c>
      <c r="P26" s="15" t="s">
        <v>785</v>
      </c>
      <c r="Q26" s="15" t="s">
        <v>255</v>
      </c>
      <c r="R26" s="15" t="s">
        <v>253</v>
      </c>
      <c r="S26" s="17">
        <v>45824</v>
      </c>
      <c r="T26" s="17" t="str">
        <f>TEXT(EMPLOYEE[[#This Row],[date_hiring]],"YYYY-MM-DD")</f>
        <v>2025-06-16</v>
      </c>
      <c r="U26" s="17">
        <v>46368</v>
      </c>
      <c r="V26" s="17" t="str">
        <f>TEXT(EMPLOYEE[[#This Row],[date_resign]],"YYYY-MM-DD")</f>
        <v>2026-12-12</v>
      </c>
      <c r="W26" s="13" t="str">
        <f>IF(EMPLOYEE[[#This Row],[date_resign]]="NULL","Employee","Resigned")</f>
        <v>Resigned</v>
      </c>
      <c r="X26" s="22" t="s">
        <v>323</v>
      </c>
      <c r="Y26" s="18" t="s">
        <v>273</v>
      </c>
      <c r="Z26" s="67" t="s">
        <v>300</v>
      </c>
    </row>
    <row r="27" spans="1:26" x14ac:dyDescent="0.2">
      <c r="A27" s="3" t="s">
        <v>558</v>
      </c>
      <c r="B27" s="13">
        <v>999999</v>
      </c>
      <c r="C27" s="14" t="s">
        <v>325</v>
      </c>
      <c r="D27" s="15" t="s">
        <v>90</v>
      </c>
      <c r="E27" s="67" t="str">
        <f>_xlfn.IFNA(VLOOKUP(EMPLOYEE[[#This Row],[id_level]],LEVEL[],2,0),"")</f>
        <v>EMPTY</v>
      </c>
      <c r="F27" s="16">
        <v>0</v>
      </c>
      <c r="G27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SO-00000000</v>
      </c>
      <c r="H27" s="15" t="s">
        <v>95</v>
      </c>
      <c r="I27" s="15" t="str">
        <f>_xlfn.IFNA(VLOOKUP(EMPLOYEE[[#This Row],[id_dir]],DIRECTORATE[],2,0),"")</f>
        <v>EMPTY</v>
      </c>
      <c r="J27" s="15" t="s">
        <v>124</v>
      </c>
      <c r="K27" s="15" t="str">
        <f>_xlfn.IFNA(VLOOKUP(EMPLOYEE[[#This Row],[id_div]],DIVISION[],2,0),"")</f>
        <v>EMPTY</v>
      </c>
      <c r="L27" s="15" t="s">
        <v>240</v>
      </c>
      <c r="M27" s="15" t="str">
        <f>_xlfn.IFNA(VLOOKUP(EMPLOYEE[[#This Row],[id_dep]],DIVISION5[],2,0),"")</f>
        <v>EMPTY</v>
      </c>
      <c r="N27" s="15" t="s">
        <v>188</v>
      </c>
      <c r="O27" s="15" t="str">
        <f>_xlfn.IFNA(VLOOKUP(EMPLOYEE[[#This Row],[id_sub]],DIVISION56[],2,0),"")</f>
        <v>EMPTY</v>
      </c>
      <c r="P27" s="15" t="s">
        <v>784</v>
      </c>
      <c r="Q27" s="15" t="s">
        <v>327</v>
      </c>
      <c r="R27" s="15" t="s">
        <v>326</v>
      </c>
      <c r="S27" s="17" t="s">
        <v>258</v>
      </c>
      <c r="T27" s="17" t="str">
        <f>TEXT(EMPLOYEE[[#This Row],[date_hiring]],"YYYY-MM-DD")</f>
        <v>Null</v>
      </c>
      <c r="U27" s="17" t="s">
        <v>258</v>
      </c>
      <c r="V27" s="17" t="str">
        <f>TEXT(EMPLOYEE[[#This Row],[date_resign]],"YYYY-MM-DD")</f>
        <v>Null</v>
      </c>
      <c r="W27" s="13" t="str">
        <f>IF(EMPLOYEE[[#This Row],[date_resign]]="NULL","Employee","Resigned")</f>
        <v>Employee</v>
      </c>
      <c r="X27" s="22" t="s">
        <v>308</v>
      </c>
      <c r="Y27" s="18"/>
      <c r="Z27" s="67"/>
    </row>
    <row r="28" spans="1:26" x14ac:dyDescent="0.2">
      <c r="A28" s="3" t="s">
        <v>558</v>
      </c>
      <c r="B28" s="13">
        <v>170747</v>
      </c>
      <c r="C28" s="14" t="s">
        <v>557</v>
      </c>
      <c r="D28" s="15" t="s">
        <v>78</v>
      </c>
      <c r="E28" s="67" t="str">
        <f>_xlfn.IFNA(VLOOKUP(EMPLOYEE[[#This Row],[id_level]],LEVEL[],2,0),"")</f>
        <v>Staff</v>
      </c>
      <c r="F28" s="16">
        <v>8500000</v>
      </c>
      <c r="G28" s="15" t="str">
        <f>IF(AND(EMPLOYEE[[#This Row],[id_dir]]&lt;&gt;"",EMPLOYEE[[#This Row],[id_div]]&lt;&gt;"",EMPLOYEE[[#This Row],[id_dep]]&lt;&gt;"",EMPLOYEE[[#This Row],[id_sub]]&lt;&gt;""),("SO-"&amp;RIGHT(EMPLOYEE[[#This Row],[id_dir]],2)&amp;RIGHT(EMPLOYEE[[#This Row],[id_div]],2)&amp;RIGHT(EMPLOYEE[[#This Row],[id_dep]],2)&amp;RIGHT(EMPLOYEE[[#This Row],[id_sub]],2)),"Null")</f>
        <v>SO-17051724</v>
      </c>
      <c r="H28" s="15" t="s">
        <v>112</v>
      </c>
      <c r="I28" s="15" t="str">
        <f>_xlfn.IFNA(VLOOKUP(EMPLOYEE[[#This Row],[id_dir]],DIRECTORATE[],2,0),"")</f>
        <v>Direktur Human Capital</v>
      </c>
      <c r="J28" s="15" t="s">
        <v>129</v>
      </c>
      <c r="K28" s="15" t="str">
        <f>_xlfn.IFNA(VLOOKUP(EMPLOYEE[[#This Row],[id_div]],DIVISION[],2,0),"")</f>
        <v>Human Resource &amp; Development</v>
      </c>
      <c r="L28" s="15" t="s">
        <v>564</v>
      </c>
      <c r="M28" s="15" t="str">
        <f>_xlfn.IFNA(VLOOKUP(EMPLOYEE[[#This Row],[id_dep]],DIVISION5[],2,0),"")</f>
        <v>GA Operation</v>
      </c>
      <c r="N28" s="15" t="s">
        <v>212</v>
      </c>
      <c r="O28" s="15" t="str">
        <f>_xlfn.IFNA(VLOOKUP(EMPLOYEE[[#This Row],[id_sub]],DIVISION56[],2,0),"")</f>
        <v>Warehouse</v>
      </c>
      <c r="P28" s="15" t="s">
        <v>788</v>
      </c>
      <c r="Q28" s="15" t="s">
        <v>379</v>
      </c>
      <c r="R28" s="15" t="s">
        <v>568</v>
      </c>
      <c r="S28" s="17">
        <v>42968</v>
      </c>
      <c r="T28" s="17">
        <v>42968</v>
      </c>
      <c r="U28" s="17">
        <v>45869</v>
      </c>
      <c r="V28" s="17" t="str">
        <f>TEXT(EMPLOYEE[[#This Row],[date_resign]],"YYYY-MM-DD")</f>
        <v>2025-07-31</v>
      </c>
      <c r="W28" s="13" t="str">
        <f>IF(EMPLOYEE[[#This Row],[date_resign]]="NULL","Employee","Resigned")</f>
        <v>Resigned</v>
      </c>
      <c r="X28" s="22" t="s">
        <v>308</v>
      </c>
      <c r="Y28" s="18"/>
      <c r="Z28" s="67"/>
    </row>
    <row r="29" spans="1:26" x14ac:dyDescent="0.2">
      <c r="B29" s="4"/>
      <c r="C29" s="1"/>
      <c r="D29" s="4"/>
      <c r="E29" s="4"/>
      <c r="F29" s="10">
        <f>SUBTOTAL(109,EMPLOYEE[salary])</f>
        <v>366600000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7"/>
      <c r="T29" s="7"/>
      <c r="U29" s="7"/>
      <c r="V29" s="7"/>
      <c r="W29" s="4"/>
      <c r="X29" s="7"/>
      <c r="Y29" s="7"/>
      <c r="Z29" s="7"/>
    </row>
  </sheetData>
  <phoneticPr fontId="3" type="noConversion"/>
  <conditionalFormatting sqref="W5:W28">
    <cfRule type="expression" dxfId="16" priority="1">
      <formula>ISNUMBER(SEARCH("RESIGNED",$W5))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4702-E090-4120-BF3E-4A55082CFA32}">
  <sheetPr codeName="Sheet2">
    <tabColor rgb="FF00FF00"/>
  </sheetPr>
  <dimension ref="B3:D47"/>
  <sheetViews>
    <sheetView zoomScale="85" zoomScaleNormal="85" workbookViewId="0">
      <selection activeCell="B5" sqref="B5"/>
    </sheetView>
  </sheetViews>
  <sheetFormatPr baseColWidth="10" defaultColWidth="8.83203125" defaultRowHeight="15" x14ac:dyDescent="0.2"/>
  <cols>
    <col min="2" max="2" width="10.5" style="2" customWidth="1"/>
    <col min="3" max="3" width="29" bestFit="1" customWidth="1"/>
    <col min="4" max="4" width="19.33203125" bestFit="1" customWidth="1"/>
  </cols>
  <sheetData>
    <row r="3" spans="2:4" x14ac:dyDescent="0.2">
      <c r="C3" s="2"/>
      <c r="D3" s="2"/>
    </row>
    <row r="4" spans="2:4" x14ac:dyDescent="0.2">
      <c r="B4" s="3" t="s">
        <v>654</v>
      </c>
      <c r="C4" s="3" t="s">
        <v>666</v>
      </c>
      <c r="D4" s="3" t="s">
        <v>796</v>
      </c>
    </row>
    <row r="5" spans="2:4" x14ac:dyDescent="0.2">
      <c r="B5" s="5" t="s">
        <v>90</v>
      </c>
      <c r="C5" s="6" t="s">
        <v>252</v>
      </c>
      <c r="D5" s="6" t="s">
        <v>252</v>
      </c>
    </row>
    <row r="6" spans="2:4" x14ac:dyDescent="0.2">
      <c r="B6" s="4" t="s">
        <v>44</v>
      </c>
      <c r="C6" s="1" t="s">
        <v>11</v>
      </c>
      <c r="D6" s="1" t="s">
        <v>22</v>
      </c>
    </row>
    <row r="7" spans="2:4" x14ac:dyDescent="0.2">
      <c r="B7" s="4" t="s">
        <v>45</v>
      </c>
      <c r="C7" s="1" t="s">
        <v>12</v>
      </c>
      <c r="D7" s="1" t="s">
        <v>22</v>
      </c>
    </row>
    <row r="8" spans="2:4" x14ac:dyDescent="0.2">
      <c r="B8" s="4" t="s">
        <v>46</v>
      </c>
      <c r="C8" s="1" t="s">
        <v>13</v>
      </c>
      <c r="D8" s="1" t="s">
        <v>22</v>
      </c>
    </row>
    <row r="9" spans="2:4" x14ac:dyDescent="0.2">
      <c r="B9" s="4" t="s">
        <v>47</v>
      </c>
      <c r="C9" s="1" t="s">
        <v>14</v>
      </c>
      <c r="D9" s="1" t="s">
        <v>22</v>
      </c>
    </row>
    <row r="10" spans="2:4" x14ac:dyDescent="0.2">
      <c r="B10" s="4" t="s">
        <v>48</v>
      </c>
      <c r="C10" s="1" t="s">
        <v>15</v>
      </c>
      <c r="D10" s="1" t="s">
        <v>22</v>
      </c>
    </row>
    <row r="11" spans="2:4" x14ac:dyDescent="0.2">
      <c r="B11" s="4" t="s">
        <v>49</v>
      </c>
      <c r="C11" s="1" t="s">
        <v>16</v>
      </c>
      <c r="D11" s="1" t="s">
        <v>22</v>
      </c>
    </row>
    <row r="12" spans="2:4" x14ac:dyDescent="0.2">
      <c r="B12" s="4" t="s">
        <v>50</v>
      </c>
      <c r="C12" s="1" t="s">
        <v>17</v>
      </c>
      <c r="D12" s="1" t="s">
        <v>22</v>
      </c>
    </row>
    <row r="13" spans="2:4" x14ac:dyDescent="0.2">
      <c r="B13" s="4" t="s">
        <v>51</v>
      </c>
      <c r="C13" s="1" t="s">
        <v>114</v>
      </c>
      <c r="D13" s="1" t="s">
        <v>22</v>
      </c>
    </row>
    <row r="14" spans="2:4" x14ac:dyDescent="0.2">
      <c r="B14" s="4" t="s">
        <v>52</v>
      </c>
      <c r="C14" s="1" t="s">
        <v>18</v>
      </c>
      <c r="D14" s="1" t="s">
        <v>22</v>
      </c>
    </row>
    <row r="15" spans="2:4" x14ac:dyDescent="0.2">
      <c r="B15" s="4" t="s">
        <v>53</v>
      </c>
      <c r="C15" s="1" t="s">
        <v>19</v>
      </c>
      <c r="D15" s="1" t="s">
        <v>22</v>
      </c>
    </row>
    <row r="16" spans="2:4" x14ac:dyDescent="0.2">
      <c r="B16" s="4" t="s">
        <v>54</v>
      </c>
      <c r="C16" s="1" t="s">
        <v>20</v>
      </c>
      <c r="D16" s="1" t="s">
        <v>22</v>
      </c>
    </row>
    <row r="17" spans="2:4" x14ac:dyDescent="0.2">
      <c r="B17" s="4" t="s">
        <v>55</v>
      </c>
      <c r="C17" s="1" t="s">
        <v>21</v>
      </c>
      <c r="D17" s="1" t="s">
        <v>22</v>
      </c>
    </row>
    <row r="18" spans="2:4" x14ac:dyDescent="0.2">
      <c r="B18" s="4" t="s">
        <v>56</v>
      </c>
      <c r="C18" s="1" t="s">
        <v>24</v>
      </c>
      <c r="D18" s="1" t="s">
        <v>23</v>
      </c>
    </row>
    <row r="19" spans="2:4" x14ac:dyDescent="0.2">
      <c r="B19" s="4" t="s">
        <v>57</v>
      </c>
      <c r="C19" s="1" t="s">
        <v>25</v>
      </c>
      <c r="D19" s="1" t="s">
        <v>23</v>
      </c>
    </row>
    <row r="20" spans="2:4" x14ac:dyDescent="0.2">
      <c r="B20" s="4" t="s">
        <v>58</v>
      </c>
      <c r="C20" s="1" t="s">
        <v>26</v>
      </c>
      <c r="D20" s="1" t="s">
        <v>23</v>
      </c>
    </row>
    <row r="21" spans="2:4" x14ac:dyDescent="0.2">
      <c r="B21" s="4" t="s">
        <v>59</v>
      </c>
      <c r="C21" s="1" t="s">
        <v>27</v>
      </c>
      <c r="D21" s="1" t="s">
        <v>23</v>
      </c>
    </row>
    <row r="22" spans="2:4" x14ac:dyDescent="0.2">
      <c r="B22" s="4" t="s">
        <v>60</v>
      </c>
      <c r="C22" s="1" t="s">
        <v>28</v>
      </c>
      <c r="D22" s="1" t="s">
        <v>30</v>
      </c>
    </row>
    <row r="23" spans="2:4" x14ac:dyDescent="0.2">
      <c r="B23" s="4" t="s">
        <v>61</v>
      </c>
      <c r="C23" s="1" t="s">
        <v>29</v>
      </c>
      <c r="D23" s="1" t="s">
        <v>30</v>
      </c>
    </row>
    <row r="24" spans="2:4" x14ac:dyDescent="0.2">
      <c r="B24" s="4" t="s">
        <v>62</v>
      </c>
      <c r="C24" s="1" t="s">
        <v>30</v>
      </c>
      <c r="D24" s="1" t="s">
        <v>30</v>
      </c>
    </row>
    <row r="25" spans="2:4" x14ac:dyDescent="0.2">
      <c r="B25" s="4" t="s">
        <v>63</v>
      </c>
      <c r="C25" s="1" t="s">
        <v>31</v>
      </c>
      <c r="D25" s="1" t="s">
        <v>30</v>
      </c>
    </row>
    <row r="26" spans="2:4" x14ac:dyDescent="0.2">
      <c r="B26" s="4" t="s">
        <v>64</v>
      </c>
      <c r="C26" s="1" t="s">
        <v>32</v>
      </c>
      <c r="D26" s="1" t="s">
        <v>32</v>
      </c>
    </row>
    <row r="27" spans="2:4" x14ac:dyDescent="0.2">
      <c r="B27" s="4" t="s">
        <v>65</v>
      </c>
      <c r="C27" s="1" t="s">
        <v>3</v>
      </c>
      <c r="D27" s="1" t="s">
        <v>32</v>
      </c>
    </row>
    <row r="28" spans="2:4" x14ac:dyDescent="0.2">
      <c r="B28" s="4" t="s">
        <v>66</v>
      </c>
      <c r="C28" s="1" t="s">
        <v>1</v>
      </c>
      <c r="D28" s="1" t="s">
        <v>32</v>
      </c>
    </row>
    <row r="29" spans="2:4" x14ac:dyDescent="0.2">
      <c r="B29" s="4" t="s">
        <v>67</v>
      </c>
      <c r="C29" s="1" t="s">
        <v>2</v>
      </c>
      <c r="D29" s="1" t="s">
        <v>32</v>
      </c>
    </row>
    <row r="30" spans="2:4" x14ac:dyDescent="0.2">
      <c r="B30" s="4" t="s">
        <v>68</v>
      </c>
      <c r="C30" s="1" t="s">
        <v>5</v>
      </c>
      <c r="D30" s="1" t="s">
        <v>86</v>
      </c>
    </row>
    <row r="31" spans="2:4" x14ac:dyDescent="0.2">
      <c r="B31" s="4" t="s">
        <v>69</v>
      </c>
      <c r="C31" s="1" t="s">
        <v>4</v>
      </c>
      <c r="D31" s="1" t="s">
        <v>86</v>
      </c>
    </row>
    <row r="32" spans="2:4" x14ac:dyDescent="0.2">
      <c r="B32" s="4" t="s">
        <v>70</v>
      </c>
      <c r="C32" s="1" t="s">
        <v>33</v>
      </c>
      <c r="D32" s="1" t="s">
        <v>86</v>
      </c>
    </row>
    <row r="33" spans="2:4" x14ac:dyDescent="0.2">
      <c r="B33" s="4" t="s">
        <v>71</v>
      </c>
      <c r="C33" s="1" t="s">
        <v>0</v>
      </c>
      <c r="D33" s="1" t="s">
        <v>86</v>
      </c>
    </row>
    <row r="34" spans="2:4" x14ac:dyDescent="0.2">
      <c r="B34" s="4" t="s">
        <v>72</v>
      </c>
      <c r="C34" s="1" t="s">
        <v>7</v>
      </c>
      <c r="D34" s="1" t="s">
        <v>87</v>
      </c>
    </row>
    <row r="35" spans="2:4" x14ac:dyDescent="0.2">
      <c r="B35" s="4" t="s">
        <v>73</v>
      </c>
      <c r="C35" s="1" t="s">
        <v>9</v>
      </c>
      <c r="D35" s="1" t="s">
        <v>87</v>
      </c>
    </row>
    <row r="36" spans="2:4" x14ac:dyDescent="0.2">
      <c r="B36" s="4" t="s">
        <v>74</v>
      </c>
      <c r="C36" s="1" t="s">
        <v>34</v>
      </c>
      <c r="D36" s="1" t="s">
        <v>87</v>
      </c>
    </row>
    <row r="37" spans="2:4" x14ac:dyDescent="0.2">
      <c r="B37" s="4" t="s">
        <v>75</v>
      </c>
      <c r="C37" s="1" t="s">
        <v>35</v>
      </c>
      <c r="D37" s="1" t="s">
        <v>87</v>
      </c>
    </row>
    <row r="38" spans="2:4" x14ac:dyDescent="0.2">
      <c r="B38" s="4" t="s">
        <v>76</v>
      </c>
      <c r="C38" s="1" t="s">
        <v>36</v>
      </c>
      <c r="D38" s="1" t="s">
        <v>87</v>
      </c>
    </row>
    <row r="39" spans="2:4" x14ac:dyDescent="0.2">
      <c r="B39" s="4" t="s">
        <v>77</v>
      </c>
      <c r="C39" s="1" t="s">
        <v>6</v>
      </c>
      <c r="D39" s="1" t="s">
        <v>88</v>
      </c>
    </row>
    <row r="40" spans="2:4" x14ac:dyDescent="0.2">
      <c r="B40" s="4" t="s">
        <v>78</v>
      </c>
      <c r="C40" s="1" t="s">
        <v>8</v>
      </c>
      <c r="D40" s="1" t="s">
        <v>88</v>
      </c>
    </row>
    <row r="41" spans="2:4" x14ac:dyDescent="0.2">
      <c r="B41" s="4" t="s">
        <v>79</v>
      </c>
      <c r="C41" s="1" t="s">
        <v>37</v>
      </c>
      <c r="D41" s="1" t="s">
        <v>88</v>
      </c>
    </row>
    <row r="42" spans="2:4" x14ac:dyDescent="0.2">
      <c r="B42" s="4" t="s">
        <v>80</v>
      </c>
      <c r="C42" s="1" t="s">
        <v>38</v>
      </c>
      <c r="D42" s="1" t="s">
        <v>88</v>
      </c>
    </row>
    <row r="43" spans="2:4" x14ac:dyDescent="0.2">
      <c r="B43" s="4" t="s">
        <v>81</v>
      </c>
      <c r="C43" s="1" t="s">
        <v>39</v>
      </c>
      <c r="D43" s="1" t="s">
        <v>88</v>
      </c>
    </row>
    <row r="44" spans="2:4" x14ac:dyDescent="0.2">
      <c r="B44" s="4" t="s">
        <v>82</v>
      </c>
      <c r="C44" s="1" t="s">
        <v>40</v>
      </c>
      <c r="D44" s="1" t="s">
        <v>89</v>
      </c>
    </row>
    <row r="45" spans="2:4" x14ac:dyDescent="0.2">
      <c r="B45" s="4" t="s">
        <v>83</v>
      </c>
      <c r="C45" s="1" t="s">
        <v>41</v>
      </c>
      <c r="D45" s="1" t="s">
        <v>89</v>
      </c>
    </row>
    <row r="46" spans="2:4" x14ac:dyDescent="0.2">
      <c r="B46" s="4" t="s">
        <v>84</v>
      </c>
      <c r="C46" s="1" t="s">
        <v>42</v>
      </c>
      <c r="D46" s="1" t="s">
        <v>89</v>
      </c>
    </row>
    <row r="47" spans="2:4" x14ac:dyDescent="0.2">
      <c r="B47" s="4" t="s">
        <v>85</v>
      </c>
      <c r="C47" s="1" t="s">
        <v>43</v>
      </c>
      <c r="D47" s="1" t="s">
        <v>89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4DED-2FF1-4448-84A4-2350175415C3}">
  <dimension ref="F7:J60"/>
  <sheetViews>
    <sheetView workbookViewId="0">
      <selection activeCell="H54" sqref="H54"/>
    </sheetView>
  </sheetViews>
  <sheetFormatPr baseColWidth="10" defaultColWidth="11.5" defaultRowHeight="15" x14ac:dyDescent="0.2"/>
  <cols>
    <col min="3" max="3" width="11.33203125" bestFit="1" customWidth="1"/>
    <col min="4" max="4" width="8" bestFit="1" customWidth="1"/>
    <col min="5" max="5" width="12.1640625" bestFit="1" customWidth="1"/>
    <col min="6" max="6" width="34.5" bestFit="1" customWidth="1"/>
    <col min="7" max="7" width="23.1640625" bestFit="1" customWidth="1"/>
    <col min="8" max="8" width="31" bestFit="1" customWidth="1"/>
    <col min="9" max="9" width="13.83203125" customWidth="1"/>
  </cols>
  <sheetData>
    <row r="7" spans="6:10" x14ac:dyDescent="0.2">
      <c r="F7" s="2">
        <v>4</v>
      </c>
      <c r="G7" s="2">
        <v>3</v>
      </c>
      <c r="H7" s="2">
        <v>2</v>
      </c>
      <c r="I7" s="2">
        <v>1</v>
      </c>
    </row>
    <row r="8" spans="6:10" x14ac:dyDescent="0.2">
      <c r="F8" t="s">
        <v>802</v>
      </c>
      <c r="G8" t="s">
        <v>801</v>
      </c>
      <c r="H8" t="s">
        <v>800</v>
      </c>
      <c r="I8" t="s">
        <v>799</v>
      </c>
      <c r="J8" t="s">
        <v>810</v>
      </c>
    </row>
    <row r="9" spans="6:10" x14ac:dyDescent="0.2">
      <c r="F9" s="1" t="s">
        <v>252</v>
      </c>
      <c r="G9" s="1" t="s">
        <v>10</v>
      </c>
      <c r="H9" s="1" t="s">
        <v>10</v>
      </c>
      <c r="I9" s="1" t="s">
        <v>10</v>
      </c>
      <c r="J9" s="4"/>
    </row>
    <row r="10" spans="6:10" x14ac:dyDescent="0.2">
      <c r="F10" s="1" t="s">
        <v>803</v>
      </c>
      <c r="G10" s="1" t="s">
        <v>812</v>
      </c>
      <c r="H10" s="1" t="s">
        <v>115</v>
      </c>
      <c r="I10" s="1" t="s">
        <v>813</v>
      </c>
      <c r="J10" s="4"/>
    </row>
    <row r="11" spans="6:10" x14ac:dyDescent="0.2">
      <c r="F11" s="1" t="s">
        <v>140</v>
      </c>
      <c r="G11" s="1" t="s">
        <v>809</v>
      </c>
      <c r="H11" s="1" t="s">
        <v>115</v>
      </c>
      <c r="I11" s="1" t="s">
        <v>813</v>
      </c>
      <c r="J11" s="4"/>
    </row>
    <row r="12" spans="6:10" x14ac:dyDescent="0.2">
      <c r="F12" s="1" t="s">
        <v>808</v>
      </c>
      <c r="G12" s="1" t="s">
        <v>809</v>
      </c>
      <c r="H12" s="1" t="s">
        <v>115</v>
      </c>
      <c r="I12" s="1" t="s">
        <v>813</v>
      </c>
      <c r="J12" s="4" t="s">
        <v>811</v>
      </c>
    </row>
    <row r="13" spans="6:10" x14ac:dyDescent="0.2">
      <c r="F13" s="1" t="s">
        <v>807</v>
      </c>
      <c r="G13" s="1" t="s">
        <v>809</v>
      </c>
      <c r="H13" s="1" t="s">
        <v>115</v>
      </c>
      <c r="I13" s="1" t="s">
        <v>813</v>
      </c>
      <c r="J13" s="4" t="s">
        <v>811</v>
      </c>
    </row>
    <row r="14" spans="6:10" x14ac:dyDescent="0.2">
      <c r="F14" s="1" t="s">
        <v>136</v>
      </c>
      <c r="G14" s="1" t="s">
        <v>806</v>
      </c>
      <c r="H14" s="1" t="s">
        <v>115</v>
      </c>
      <c r="I14" s="1" t="s">
        <v>813</v>
      </c>
      <c r="J14" s="4"/>
    </row>
    <row r="15" spans="6:10" x14ac:dyDescent="0.2">
      <c r="F15" s="1" t="s">
        <v>137</v>
      </c>
      <c r="G15" s="1" t="s">
        <v>806</v>
      </c>
      <c r="H15" s="1" t="s">
        <v>115</v>
      </c>
      <c r="I15" s="1" t="s">
        <v>813</v>
      </c>
      <c r="J15" s="4"/>
    </row>
    <row r="16" spans="6:10" x14ac:dyDescent="0.2">
      <c r="F16" s="1" t="s">
        <v>138</v>
      </c>
      <c r="G16" s="1" t="s">
        <v>804</v>
      </c>
      <c r="H16" s="1" t="s">
        <v>115</v>
      </c>
      <c r="I16" s="1" t="s">
        <v>813</v>
      </c>
      <c r="J16" s="4"/>
    </row>
    <row r="17" spans="6:10" x14ac:dyDescent="0.2">
      <c r="F17" s="1" t="s">
        <v>139</v>
      </c>
      <c r="G17" s="1" t="s">
        <v>804</v>
      </c>
      <c r="H17" s="1" t="s">
        <v>115</v>
      </c>
      <c r="I17" s="1" t="s">
        <v>813</v>
      </c>
      <c r="J17" s="4"/>
    </row>
    <row r="18" spans="6:10" x14ac:dyDescent="0.2">
      <c r="F18" s="1" t="s">
        <v>145</v>
      </c>
      <c r="G18" s="1" t="s">
        <v>805</v>
      </c>
      <c r="H18" s="1" t="s">
        <v>115</v>
      </c>
      <c r="I18" s="1" t="s">
        <v>813</v>
      </c>
      <c r="J18" s="4" t="s">
        <v>811</v>
      </c>
    </row>
    <row r="19" spans="6:10" x14ac:dyDescent="0.2">
      <c r="F19" s="1" t="s">
        <v>143</v>
      </c>
      <c r="G19" s="1" t="s">
        <v>805</v>
      </c>
      <c r="H19" s="1" t="s">
        <v>115</v>
      </c>
      <c r="I19" s="1" t="s">
        <v>813</v>
      </c>
      <c r="J19" s="4" t="s">
        <v>811</v>
      </c>
    </row>
    <row r="20" spans="6:10" x14ac:dyDescent="0.2">
      <c r="F20" s="1" t="s">
        <v>159</v>
      </c>
      <c r="G20" s="1" t="s">
        <v>818</v>
      </c>
      <c r="H20" s="1" t="s">
        <v>116</v>
      </c>
      <c r="I20" s="1" t="s">
        <v>815</v>
      </c>
      <c r="J20" s="4"/>
    </row>
    <row r="21" spans="6:10" x14ac:dyDescent="0.2">
      <c r="F21" s="1" t="s">
        <v>158</v>
      </c>
      <c r="G21" s="1" t="s">
        <v>818</v>
      </c>
      <c r="H21" s="1" t="s">
        <v>116</v>
      </c>
      <c r="I21" s="1" t="s">
        <v>815</v>
      </c>
      <c r="J21" s="4"/>
    </row>
    <row r="22" spans="6:10" x14ac:dyDescent="0.2">
      <c r="F22" s="1" t="s">
        <v>154</v>
      </c>
      <c r="G22" s="1" t="s">
        <v>817</v>
      </c>
      <c r="H22" s="1" t="s">
        <v>116</v>
      </c>
      <c r="I22" s="1" t="s">
        <v>815</v>
      </c>
      <c r="J22" s="4"/>
    </row>
    <row r="23" spans="6:10" x14ac:dyDescent="0.2">
      <c r="F23" s="1" t="s">
        <v>155</v>
      </c>
      <c r="G23" s="1" t="s">
        <v>817</v>
      </c>
      <c r="H23" s="1" t="s">
        <v>116</v>
      </c>
      <c r="I23" s="1" t="s">
        <v>815</v>
      </c>
      <c r="J23" s="4"/>
    </row>
    <row r="24" spans="6:10" x14ac:dyDescent="0.2">
      <c r="F24" s="1" t="s">
        <v>156</v>
      </c>
      <c r="G24" s="1" t="s">
        <v>818</v>
      </c>
      <c r="H24" s="1" t="s">
        <v>116</v>
      </c>
      <c r="I24" s="1" t="s">
        <v>815</v>
      </c>
      <c r="J24" s="4"/>
    </row>
    <row r="25" spans="6:10" x14ac:dyDescent="0.2">
      <c r="F25" s="1" t="s">
        <v>152</v>
      </c>
      <c r="G25" s="1" t="s">
        <v>818</v>
      </c>
      <c r="H25" s="1" t="s">
        <v>116</v>
      </c>
      <c r="I25" s="1" t="s">
        <v>815</v>
      </c>
      <c r="J25" s="4"/>
    </row>
    <row r="26" spans="6:10" x14ac:dyDescent="0.2">
      <c r="F26" s="1" t="s">
        <v>814</v>
      </c>
      <c r="G26" s="1" t="s">
        <v>816</v>
      </c>
      <c r="H26" s="1" t="s">
        <v>146</v>
      </c>
      <c r="I26" s="1" t="s">
        <v>815</v>
      </c>
      <c r="J26" s="4"/>
    </row>
    <row r="27" spans="6:10" x14ac:dyDescent="0.2">
      <c r="F27" s="1" t="s">
        <v>153</v>
      </c>
      <c r="G27" s="1" t="s">
        <v>818</v>
      </c>
      <c r="H27" s="1" t="s">
        <v>116</v>
      </c>
      <c r="I27" s="1" t="s">
        <v>815</v>
      </c>
      <c r="J27" s="4"/>
    </row>
    <row r="28" spans="6:10" x14ac:dyDescent="0.2">
      <c r="F28" s="1" t="s">
        <v>147</v>
      </c>
      <c r="G28" s="1" t="s">
        <v>819</v>
      </c>
      <c r="H28" s="1" t="s">
        <v>161</v>
      </c>
      <c r="I28" s="1" t="s">
        <v>815</v>
      </c>
      <c r="J28" s="4"/>
    </row>
    <row r="29" spans="6:10" x14ac:dyDescent="0.2">
      <c r="F29" s="1" t="s">
        <v>149</v>
      </c>
      <c r="G29" s="1" t="s">
        <v>819</v>
      </c>
      <c r="H29" s="1" t="s">
        <v>161</v>
      </c>
      <c r="I29" s="1" t="s">
        <v>815</v>
      </c>
      <c r="J29" s="4"/>
    </row>
    <row r="30" spans="6:10" x14ac:dyDescent="0.2">
      <c r="F30" s="1" t="s">
        <v>148</v>
      </c>
      <c r="G30" s="1" t="s">
        <v>820</v>
      </c>
      <c r="H30" s="1" t="s">
        <v>820</v>
      </c>
      <c r="I30" s="1" t="s">
        <v>815</v>
      </c>
      <c r="J30" s="4"/>
    </row>
    <row r="31" spans="6:10" x14ac:dyDescent="0.2">
      <c r="F31" s="1" t="s">
        <v>163</v>
      </c>
      <c r="G31" s="1" t="s">
        <v>821</v>
      </c>
      <c r="H31" s="1" t="s">
        <v>822</v>
      </c>
      <c r="I31" s="1"/>
      <c r="J31" s="4"/>
    </row>
    <row r="32" spans="6:10" x14ac:dyDescent="0.2">
      <c r="F32" s="1" t="s">
        <v>164</v>
      </c>
      <c r="G32" s="1" t="s">
        <v>821</v>
      </c>
      <c r="H32" s="1" t="s">
        <v>822</v>
      </c>
      <c r="I32" s="1"/>
      <c r="J32" s="4"/>
    </row>
    <row r="33" spans="6:10" x14ac:dyDescent="0.2">
      <c r="F33" s="1" t="s">
        <v>823</v>
      </c>
      <c r="G33" s="1" t="s">
        <v>117</v>
      </c>
      <c r="H33" s="1" t="s">
        <v>165</v>
      </c>
      <c r="I33" s="1"/>
      <c r="J33" s="4"/>
    </row>
    <row r="34" spans="6:10" x14ac:dyDescent="0.2">
      <c r="F34" s="1" t="s">
        <v>824</v>
      </c>
      <c r="G34" s="1" t="s">
        <v>117</v>
      </c>
      <c r="H34" s="1" t="s">
        <v>165</v>
      </c>
      <c r="I34" s="1"/>
      <c r="J34" s="4"/>
    </row>
    <row r="35" spans="6:10" x14ac:dyDescent="0.2">
      <c r="F35" s="1" t="s">
        <v>166</v>
      </c>
      <c r="G35" s="1" t="s">
        <v>821</v>
      </c>
      <c r="H35" s="1" t="s">
        <v>822</v>
      </c>
      <c r="I35" s="1"/>
      <c r="J35" s="4"/>
    </row>
    <row r="36" spans="6:10" x14ac:dyDescent="0.2">
      <c r="F36" s="1" t="s">
        <v>167</v>
      </c>
      <c r="G36" s="1" t="s">
        <v>821</v>
      </c>
      <c r="H36" s="1" t="s">
        <v>822</v>
      </c>
      <c r="I36" s="1"/>
      <c r="J36" s="4"/>
    </row>
    <row r="37" spans="6:10" x14ac:dyDescent="0.2">
      <c r="F37" s="1" t="s">
        <v>168</v>
      </c>
      <c r="G37" s="1" t="s">
        <v>826</v>
      </c>
      <c r="H37" s="1" t="s">
        <v>822</v>
      </c>
      <c r="I37" s="1"/>
      <c r="J37" s="4"/>
    </row>
    <row r="38" spans="6:10" x14ac:dyDescent="0.2">
      <c r="F38" s="1" t="s">
        <v>174</v>
      </c>
      <c r="G38" s="1" t="s">
        <v>826</v>
      </c>
      <c r="H38" s="1" t="s">
        <v>822</v>
      </c>
      <c r="I38" s="1"/>
      <c r="J38" s="4"/>
    </row>
    <row r="39" spans="6:10" x14ac:dyDescent="0.2">
      <c r="F39" s="1" t="s">
        <v>169</v>
      </c>
      <c r="G39" s="1" t="s">
        <v>826</v>
      </c>
      <c r="H39" s="1" t="s">
        <v>822</v>
      </c>
      <c r="I39" s="1"/>
      <c r="J39" s="4"/>
    </row>
    <row r="40" spans="6:10" x14ac:dyDescent="0.2">
      <c r="F40" s="1" t="s">
        <v>170</v>
      </c>
      <c r="G40" s="1" t="s">
        <v>825</v>
      </c>
      <c r="H40" s="1" t="s">
        <v>822</v>
      </c>
      <c r="I40" s="1"/>
      <c r="J40" s="4"/>
    </row>
    <row r="41" spans="6:10" x14ac:dyDescent="0.2">
      <c r="F41" s="1" t="s">
        <v>172</v>
      </c>
      <c r="G41" s="1" t="s">
        <v>821</v>
      </c>
      <c r="H41" s="1"/>
      <c r="I41" s="1"/>
      <c r="J41" s="4"/>
    </row>
    <row r="42" spans="6:10" x14ac:dyDescent="0.2">
      <c r="F42" s="1" t="s">
        <v>173</v>
      </c>
      <c r="G42" s="1" t="s">
        <v>821</v>
      </c>
      <c r="H42" s="1"/>
      <c r="I42" s="1"/>
      <c r="J42" s="4"/>
    </row>
    <row r="43" spans="6:10" x14ac:dyDescent="0.2">
      <c r="F43" s="1" t="s">
        <v>175</v>
      </c>
      <c r="G43" s="1" t="s">
        <v>827</v>
      </c>
      <c r="H43" s="1" t="s">
        <v>828</v>
      </c>
      <c r="I43" s="1"/>
      <c r="J43" s="4"/>
    </row>
    <row r="44" spans="6:10" x14ac:dyDescent="0.2">
      <c r="F44" s="1" t="s">
        <v>176</v>
      </c>
      <c r="G44" s="1" t="s">
        <v>827</v>
      </c>
      <c r="H44" s="1" t="s">
        <v>828</v>
      </c>
      <c r="I44" s="1"/>
      <c r="J44" s="4"/>
    </row>
    <row r="45" spans="6:10" x14ac:dyDescent="0.2">
      <c r="F45" s="1" t="s">
        <v>177</v>
      </c>
      <c r="G45" s="1"/>
      <c r="H45" s="1" t="s">
        <v>828</v>
      </c>
      <c r="I45" s="1"/>
      <c r="J45" s="4"/>
    </row>
    <row r="46" spans="6:10" x14ac:dyDescent="0.2">
      <c r="F46" s="1" t="s">
        <v>178</v>
      </c>
      <c r="G46" s="1"/>
      <c r="H46" s="1" t="s">
        <v>828</v>
      </c>
      <c r="I46" s="1"/>
      <c r="J46" s="4"/>
    </row>
    <row r="47" spans="6:10" x14ac:dyDescent="0.2">
      <c r="F47" s="1" t="s">
        <v>179</v>
      </c>
      <c r="G47" s="1"/>
      <c r="H47" s="1" t="s">
        <v>828</v>
      </c>
      <c r="I47" s="1"/>
      <c r="J47" s="4"/>
    </row>
    <row r="48" spans="6:10" x14ac:dyDescent="0.2">
      <c r="F48" s="1" t="s">
        <v>180</v>
      </c>
      <c r="G48" s="1"/>
      <c r="H48" s="1" t="s">
        <v>828</v>
      </c>
      <c r="I48" s="1"/>
      <c r="J48" s="4"/>
    </row>
    <row r="49" spans="6:10" x14ac:dyDescent="0.2">
      <c r="F49" s="1" t="s">
        <v>181</v>
      </c>
      <c r="G49" s="1"/>
      <c r="H49" s="1" t="s">
        <v>828</v>
      </c>
      <c r="I49" s="1"/>
      <c r="J49" s="4"/>
    </row>
    <row r="50" spans="6:10" x14ac:dyDescent="0.2">
      <c r="F50" s="1" t="s">
        <v>182</v>
      </c>
      <c r="G50" s="1"/>
      <c r="H50" s="1" t="s">
        <v>828</v>
      </c>
      <c r="I50" s="1"/>
      <c r="J50" s="4"/>
    </row>
    <row r="51" spans="6:10" x14ac:dyDescent="0.2">
      <c r="F51" s="1" t="s">
        <v>183</v>
      </c>
      <c r="G51" s="1"/>
      <c r="H51" s="1" t="s">
        <v>828</v>
      </c>
      <c r="I51" s="1"/>
      <c r="J51" s="4"/>
    </row>
    <row r="52" spans="6:10" x14ac:dyDescent="0.2">
      <c r="F52" s="1" t="s">
        <v>184</v>
      </c>
      <c r="G52" s="1"/>
      <c r="H52" s="1" t="s">
        <v>828</v>
      </c>
      <c r="I52" s="1"/>
      <c r="J52" s="4"/>
    </row>
    <row r="53" spans="6:10" x14ac:dyDescent="0.2">
      <c r="F53" s="1" t="s">
        <v>185</v>
      </c>
      <c r="G53" s="1"/>
      <c r="H53" s="1" t="s">
        <v>828</v>
      </c>
      <c r="I53" s="1"/>
      <c r="J53" s="4"/>
    </row>
    <row r="54" spans="6:10" x14ac:dyDescent="0.2">
      <c r="F54" s="1" t="s">
        <v>187</v>
      </c>
      <c r="G54" s="1"/>
      <c r="H54" s="1" t="s">
        <v>828</v>
      </c>
      <c r="I54" s="1"/>
      <c r="J54" s="4"/>
    </row>
    <row r="55" spans="6:10" x14ac:dyDescent="0.2">
      <c r="F55" s="1" t="s">
        <v>186</v>
      </c>
      <c r="G55" s="1"/>
      <c r="H55" s="1" t="s">
        <v>828</v>
      </c>
      <c r="I55" s="1"/>
      <c r="J55" s="4"/>
    </row>
    <row r="56" spans="6:10" x14ac:dyDescent="0.2">
      <c r="F56" s="1" t="s">
        <v>119</v>
      </c>
      <c r="G56" s="1" t="s">
        <v>119</v>
      </c>
      <c r="H56" s="1" t="s">
        <v>828</v>
      </c>
      <c r="I56" s="1"/>
      <c r="J56" s="4"/>
    </row>
    <row r="57" spans="6:10" x14ac:dyDescent="0.2">
      <c r="F57" s="1" t="s">
        <v>120</v>
      </c>
      <c r="G57" s="1"/>
      <c r="H57" s="1"/>
      <c r="I57" s="1"/>
      <c r="J57" s="4"/>
    </row>
    <row r="58" spans="6:10" x14ac:dyDescent="0.2">
      <c r="F58" s="1" t="s">
        <v>121</v>
      </c>
      <c r="G58" s="1"/>
      <c r="H58" s="1"/>
      <c r="I58" s="1"/>
      <c r="J58" s="4"/>
    </row>
    <row r="59" spans="6:10" x14ac:dyDescent="0.2">
      <c r="F59" s="1" t="s">
        <v>122</v>
      </c>
      <c r="G59" s="1"/>
      <c r="H59" s="1"/>
      <c r="I59" s="1"/>
      <c r="J59" s="4"/>
    </row>
    <row r="60" spans="6:10" x14ac:dyDescent="0.2">
      <c r="F60" s="1" t="s">
        <v>123</v>
      </c>
      <c r="G60" s="1"/>
      <c r="H60" s="1"/>
      <c r="I60" s="1"/>
      <c r="J60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17C7A-F39A-48A0-B3CD-2137D56062B1}">
  <sheetPr codeName="Sheet3">
    <tabColor rgb="FF00FF00"/>
  </sheetPr>
  <dimension ref="B3:D24"/>
  <sheetViews>
    <sheetView zoomScale="85" zoomScaleNormal="85" workbookViewId="0">
      <selection activeCell="B12" sqref="B12"/>
    </sheetView>
  </sheetViews>
  <sheetFormatPr baseColWidth="10" defaultColWidth="8.83203125" defaultRowHeight="15" x14ac:dyDescent="0.2"/>
  <cols>
    <col min="2" max="2" width="10.5" style="2" customWidth="1"/>
    <col min="3" max="3" width="29" bestFit="1" customWidth="1"/>
    <col min="4" max="4" width="19.33203125" bestFit="1" customWidth="1"/>
  </cols>
  <sheetData>
    <row r="3" spans="2:4" x14ac:dyDescent="0.2">
      <c r="C3" s="2"/>
      <c r="D3" s="2"/>
    </row>
    <row r="4" spans="2:4" x14ac:dyDescent="0.2">
      <c r="B4" s="3" t="s">
        <v>667</v>
      </c>
      <c r="C4" s="3" t="s">
        <v>668</v>
      </c>
      <c r="D4" s="3" t="s">
        <v>796</v>
      </c>
    </row>
    <row r="5" spans="2:4" x14ac:dyDescent="0.2">
      <c r="B5" s="5" t="s">
        <v>95</v>
      </c>
      <c r="C5" s="6" t="s">
        <v>252</v>
      </c>
      <c r="D5" s="6" t="s">
        <v>252</v>
      </c>
    </row>
    <row r="6" spans="2:4" x14ac:dyDescent="0.2">
      <c r="B6" s="65" t="s">
        <v>96</v>
      </c>
      <c r="C6" s="66" t="s">
        <v>11</v>
      </c>
      <c r="D6" s="66" t="s">
        <v>22</v>
      </c>
    </row>
    <row r="7" spans="2:4" x14ac:dyDescent="0.2">
      <c r="B7" s="65" t="s">
        <v>97</v>
      </c>
      <c r="C7" s="66" t="s">
        <v>12</v>
      </c>
      <c r="D7" s="66" t="s">
        <v>22</v>
      </c>
    </row>
    <row r="8" spans="2:4" x14ac:dyDescent="0.2">
      <c r="B8" s="65" t="s">
        <v>98</v>
      </c>
      <c r="C8" s="66" t="s">
        <v>13</v>
      </c>
      <c r="D8" s="66" t="s">
        <v>22</v>
      </c>
    </row>
    <row r="9" spans="2:4" x14ac:dyDescent="0.2">
      <c r="B9" s="65" t="s">
        <v>99</v>
      </c>
      <c r="C9" s="66" t="s">
        <v>14</v>
      </c>
      <c r="D9" s="66" t="s">
        <v>22</v>
      </c>
    </row>
    <row r="10" spans="2:4" x14ac:dyDescent="0.2">
      <c r="B10" s="4" t="s">
        <v>100</v>
      </c>
      <c r="C10" s="1" t="s">
        <v>15</v>
      </c>
      <c r="D10" s="1" t="s">
        <v>22</v>
      </c>
    </row>
    <row r="11" spans="2:4" x14ac:dyDescent="0.2">
      <c r="B11" s="65" t="s">
        <v>101</v>
      </c>
      <c r="C11" s="66" t="s">
        <v>16</v>
      </c>
      <c r="D11" s="66" t="s">
        <v>22</v>
      </c>
    </row>
    <row r="12" spans="2:4" x14ac:dyDescent="0.2">
      <c r="B12" s="4" t="s">
        <v>102</v>
      </c>
      <c r="C12" s="1" t="s">
        <v>17</v>
      </c>
      <c r="D12" s="1" t="s">
        <v>22</v>
      </c>
    </row>
    <row r="13" spans="2:4" x14ac:dyDescent="0.2">
      <c r="B13" s="65" t="s">
        <v>103</v>
      </c>
      <c r="C13" s="66" t="s">
        <v>114</v>
      </c>
      <c r="D13" s="66" t="s">
        <v>22</v>
      </c>
    </row>
    <row r="14" spans="2:4" x14ac:dyDescent="0.2">
      <c r="B14" s="4" t="s">
        <v>104</v>
      </c>
      <c r="C14" s="1" t="s">
        <v>18</v>
      </c>
      <c r="D14" s="1" t="s">
        <v>22</v>
      </c>
    </row>
    <row r="15" spans="2:4" x14ac:dyDescent="0.2">
      <c r="B15" s="4" t="s">
        <v>105</v>
      </c>
      <c r="C15" s="1" t="s">
        <v>19</v>
      </c>
      <c r="D15" s="1" t="s">
        <v>22</v>
      </c>
    </row>
    <row r="16" spans="2:4" x14ac:dyDescent="0.2">
      <c r="B16" s="4" t="s">
        <v>106</v>
      </c>
      <c r="C16" s="1" t="s">
        <v>20</v>
      </c>
      <c r="D16" s="1" t="s">
        <v>22</v>
      </c>
    </row>
    <row r="17" spans="2:4" x14ac:dyDescent="0.2">
      <c r="B17" s="4" t="s">
        <v>107</v>
      </c>
      <c r="C17" s="1" t="s">
        <v>21</v>
      </c>
      <c r="D17" s="1" t="s">
        <v>22</v>
      </c>
    </row>
    <row r="18" spans="2:4" x14ac:dyDescent="0.2">
      <c r="B18" s="4" t="s">
        <v>108</v>
      </c>
      <c r="C18" s="1" t="s">
        <v>24</v>
      </c>
      <c r="D18" s="1" t="s">
        <v>23</v>
      </c>
    </row>
    <row r="19" spans="2:4" x14ac:dyDescent="0.2">
      <c r="B19" s="4" t="s">
        <v>109</v>
      </c>
      <c r="C19" s="1" t="s">
        <v>25</v>
      </c>
      <c r="D19" s="1" t="s">
        <v>23</v>
      </c>
    </row>
    <row r="20" spans="2:4" x14ac:dyDescent="0.2">
      <c r="B20" s="4" t="s">
        <v>110</v>
      </c>
      <c r="C20" s="1" t="s">
        <v>26</v>
      </c>
      <c r="D20" s="1" t="s">
        <v>23</v>
      </c>
    </row>
    <row r="21" spans="2:4" x14ac:dyDescent="0.2">
      <c r="B21" s="4" t="s">
        <v>111</v>
      </c>
      <c r="C21" s="1" t="s">
        <v>92</v>
      </c>
      <c r="D21" s="1" t="s">
        <v>23</v>
      </c>
    </row>
    <row r="22" spans="2:4" x14ac:dyDescent="0.2">
      <c r="B22" s="4" t="s">
        <v>112</v>
      </c>
      <c r="C22" s="1" t="s">
        <v>93</v>
      </c>
      <c r="D22" s="1" t="s">
        <v>23</v>
      </c>
    </row>
    <row r="23" spans="2:4" x14ac:dyDescent="0.2">
      <c r="B23" s="4" t="s">
        <v>113</v>
      </c>
      <c r="C23" s="1" t="s">
        <v>94</v>
      </c>
      <c r="D23" s="1" t="s">
        <v>23</v>
      </c>
    </row>
    <row r="24" spans="2:4" x14ac:dyDescent="0.2">
      <c r="B24" s="4" t="s">
        <v>830</v>
      </c>
      <c r="C24" s="1" t="s">
        <v>831</v>
      </c>
      <c r="D24" s="1" t="s">
        <v>23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6716-EA5A-46D8-94E5-A7B1FABB487F}">
  <sheetPr codeName="Sheet4">
    <tabColor rgb="FF00FF00"/>
  </sheetPr>
  <dimension ref="B3:D17"/>
  <sheetViews>
    <sheetView zoomScale="85" zoomScaleNormal="85" workbookViewId="0">
      <selection activeCell="B6" sqref="B6"/>
    </sheetView>
  </sheetViews>
  <sheetFormatPr baseColWidth="10" defaultColWidth="8.83203125" defaultRowHeight="15" x14ac:dyDescent="0.2"/>
  <cols>
    <col min="2" max="2" width="10.5" style="2" customWidth="1"/>
    <col min="3" max="3" width="44.5" bestFit="1" customWidth="1"/>
    <col min="4" max="4" width="19.33203125" bestFit="1" customWidth="1"/>
  </cols>
  <sheetData>
    <row r="3" spans="2:4" x14ac:dyDescent="0.2">
      <c r="C3" s="2"/>
      <c r="D3" s="2"/>
    </row>
    <row r="4" spans="2:4" x14ac:dyDescent="0.2">
      <c r="B4" s="3" t="s">
        <v>669</v>
      </c>
      <c r="C4" s="3" t="s">
        <v>670</v>
      </c>
      <c r="D4" s="3" t="s">
        <v>667</v>
      </c>
    </row>
    <row r="5" spans="2:4" x14ac:dyDescent="0.2">
      <c r="B5" s="5" t="s">
        <v>124</v>
      </c>
      <c r="C5" s="6" t="s">
        <v>252</v>
      </c>
      <c r="D5" s="6" t="s">
        <v>95</v>
      </c>
    </row>
    <row r="6" spans="2:4" x14ac:dyDescent="0.2">
      <c r="B6" s="65" t="s">
        <v>125</v>
      </c>
      <c r="C6" s="1" t="s">
        <v>115</v>
      </c>
      <c r="D6" s="1" t="s">
        <v>99</v>
      </c>
    </row>
    <row r="7" spans="2:4" x14ac:dyDescent="0.2">
      <c r="B7" s="4" t="s">
        <v>126</v>
      </c>
      <c r="C7" s="1" t="s">
        <v>798</v>
      </c>
      <c r="D7" s="1" t="s">
        <v>99</v>
      </c>
    </row>
    <row r="8" spans="2:4" x14ac:dyDescent="0.2">
      <c r="B8" s="65" t="s">
        <v>127</v>
      </c>
      <c r="C8" s="1" t="s">
        <v>116</v>
      </c>
      <c r="D8" s="1" t="s">
        <v>97</v>
      </c>
    </row>
    <row r="9" spans="2:4" x14ac:dyDescent="0.2">
      <c r="B9" s="65" t="s">
        <v>128</v>
      </c>
      <c r="C9" s="1" t="s">
        <v>146</v>
      </c>
      <c r="D9" s="1" t="s">
        <v>97</v>
      </c>
    </row>
    <row r="10" spans="2:4" x14ac:dyDescent="0.2">
      <c r="B10" s="65" t="s">
        <v>129</v>
      </c>
      <c r="C10" s="1" t="s">
        <v>162</v>
      </c>
      <c r="D10" s="1" t="s">
        <v>102</v>
      </c>
    </row>
    <row r="11" spans="2:4" x14ac:dyDescent="0.2">
      <c r="B11" s="4" t="s">
        <v>130</v>
      </c>
      <c r="C11" s="1" t="s">
        <v>118</v>
      </c>
      <c r="D11" s="1" t="s">
        <v>830</v>
      </c>
    </row>
    <row r="12" spans="2:4" x14ac:dyDescent="0.2">
      <c r="B12" s="4" t="s">
        <v>131</v>
      </c>
      <c r="C12" s="1" t="s">
        <v>797</v>
      </c>
      <c r="D12" s="1" t="s">
        <v>98</v>
      </c>
    </row>
    <row r="13" spans="2:4" x14ac:dyDescent="0.2">
      <c r="B13" s="4" t="s">
        <v>132</v>
      </c>
      <c r="C13" s="1" t="s">
        <v>119</v>
      </c>
      <c r="D13" s="1" t="s">
        <v>113</v>
      </c>
    </row>
    <row r="14" spans="2:4" x14ac:dyDescent="0.2">
      <c r="B14" s="4" t="s">
        <v>133</v>
      </c>
      <c r="C14" s="1" t="s">
        <v>120</v>
      </c>
      <c r="D14" s="1" t="s">
        <v>101</v>
      </c>
    </row>
    <row r="15" spans="2:4" x14ac:dyDescent="0.2">
      <c r="B15" s="4" t="s">
        <v>134</v>
      </c>
      <c r="C15" s="1" t="s">
        <v>121</v>
      </c>
      <c r="D15" s="66" t="s">
        <v>96</v>
      </c>
    </row>
    <row r="16" spans="2:4" x14ac:dyDescent="0.2">
      <c r="B16" s="4" t="s">
        <v>135</v>
      </c>
      <c r="C16" s="1" t="s">
        <v>122</v>
      </c>
      <c r="D16" s="1" t="s">
        <v>103</v>
      </c>
    </row>
    <row r="17" spans="2:4" x14ac:dyDescent="0.2">
      <c r="B17" s="4" t="s">
        <v>829</v>
      </c>
      <c r="C17" s="1" t="s">
        <v>123</v>
      </c>
      <c r="D17" s="1" t="s">
        <v>98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42C4-ED96-4793-A885-F7E4E97C2EFC}">
  <sheetPr codeName="Sheet5">
    <tabColor rgb="FF00FF00"/>
  </sheetPr>
  <dimension ref="B3:D24"/>
  <sheetViews>
    <sheetView zoomScale="85" zoomScaleNormal="85" workbookViewId="0">
      <selection activeCell="B6" sqref="B6"/>
    </sheetView>
  </sheetViews>
  <sheetFormatPr baseColWidth="10" defaultColWidth="8.83203125" defaultRowHeight="15" x14ac:dyDescent="0.2"/>
  <cols>
    <col min="2" max="2" width="10.5" style="2" customWidth="1"/>
    <col min="3" max="3" width="35.5" bestFit="1" customWidth="1"/>
    <col min="4" max="4" width="10.5" bestFit="1" customWidth="1"/>
  </cols>
  <sheetData>
    <row r="3" spans="2:4" x14ac:dyDescent="0.2">
      <c r="C3" s="2"/>
      <c r="D3" s="2"/>
    </row>
    <row r="4" spans="2:4" x14ac:dyDescent="0.2">
      <c r="B4" s="3" t="s">
        <v>832</v>
      </c>
      <c r="C4" s="3" t="s">
        <v>671</v>
      </c>
      <c r="D4" s="3" t="s">
        <v>669</v>
      </c>
    </row>
    <row r="5" spans="2:4" x14ac:dyDescent="0.2">
      <c r="B5" s="5" t="s">
        <v>240</v>
      </c>
      <c r="C5" s="6" t="s">
        <v>252</v>
      </c>
      <c r="D5" s="6" t="s">
        <v>124</v>
      </c>
    </row>
    <row r="6" spans="2:4" x14ac:dyDescent="0.2">
      <c r="B6" s="4" t="s">
        <v>241</v>
      </c>
      <c r="C6" s="1" t="s">
        <v>140</v>
      </c>
      <c r="D6" s="1" t="s">
        <v>125</v>
      </c>
    </row>
    <row r="7" spans="2:4" x14ac:dyDescent="0.2">
      <c r="B7" s="4" t="s">
        <v>242</v>
      </c>
      <c r="C7" s="1" t="s">
        <v>141</v>
      </c>
      <c r="D7" s="1" t="s">
        <v>125</v>
      </c>
    </row>
    <row r="8" spans="2:4" x14ac:dyDescent="0.2">
      <c r="B8" s="4" t="s">
        <v>243</v>
      </c>
      <c r="C8" s="1" t="s">
        <v>142</v>
      </c>
      <c r="D8" s="1" t="s">
        <v>125</v>
      </c>
    </row>
    <row r="9" spans="2:4" x14ac:dyDescent="0.2">
      <c r="B9" s="4" t="s">
        <v>244</v>
      </c>
      <c r="C9" s="1" t="s">
        <v>144</v>
      </c>
      <c r="D9" s="1" t="s">
        <v>125</v>
      </c>
    </row>
    <row r="10" spans="2:4" x14ac:dyDescent="0.2">
      <c r="B10" s="4" t="s">
        <v>245</v>
      </c>
      <c r="C10" s="1" t="s">
        <v>160</v>
      </c>
      <c r="D10" s="1" t="s">
        <v>127</v>
      </c>
    </row>
    <row r="11" spans="2:4" x14ac:dyDescent="0.2">
      <c r="B11" s="4" t="s">
        <v>246</v>
      </c>
      <c r="C11" s="1" t="s">
        <v>157</v>
      </c>
      <c r="D11" s="1" t="s">
        <v>127</v>
      </c>
    </row>
    <row r="12" spans="2:4" x14ac:dyDescent="0.2">
      <c r="B12" s="4" t="s">
        <v>247</v>
      </c>
      <c r="C12" s="1" t="s">
        <v>155</v>
      </c>
      <c r="D12" s="1" t="s">
        <v>127</v>
      </c>
    </row>
    <row r="13" spans="2:4" x14ac:dyDescent="0.2">
      <c r="B13" s="4" t="s">
        <v>248</v>
      </c>
      <c r="C13" s="1" t="s">
        <v>152</v>
      </c>
      <c r="D13" s="1" t="s">
        <v>127</v>
      </c>
    </row>
    <row r="14" spans="2:4" x14ac:dyDescent="0.2">
      <c r="B14" s="4" t="s">
        <v>249</v>
      </c>
      <c r="C14" s="1" t="s">
        <v>150</v>
      </c>
      <c r="D14" s="1" t="s">
        <v>128</v>
      </c>
    </row>
    <row r="15" spans="2:4" x14ac:dyDescent="0.2">
      <c r="B15" s="4" t="s">
        <v>250</v>
      </c>
      <c r="C15" s="1" t="s">
        <v>153</v>
      </c>
      <c r="D15" s="1" t="s">
        <v>127</v>
      </c>
    </row>
    <row r="16" spans="2:4" x14ac:dyDescent="0.2">
      <c r="B16" s="4" t="s">
        <v>251</v>
      </c>
      <c r="C16" s="1" t="s">
        <v>161</v>
      </c>
      <c r="D16" s="1" t="s">
        <v>127</v>
      </c>
    </row>
    <row r="17" spans="2:4" x14ac:dyDescent="0.2">
      <c r="B17" s="4" t="s">
        <v>559</v>
      </c>
      <c r="C17" s="1" t="s">
        <v>148</v>
      </c>
      <c r="D17" s="1" t="s">
        <v>127</v>
      </c>
    </row>
    <row r="18" spans="2:4" x14ac:dyDescent="0.2">
      <c r="B18" s="4" t="s">
        <v>560</v>
      </c>
      <c r="C18" s="1" t="s">
        <v>163</v>
      </c>
      <c r="D18" s="1" t="s">
        <v>129</v>
      </c>
    </row>
    <row r="19" spans="2:4" x14ac:dyDescent="0.2">
      <c r="B19" s="4" t="s">
        <v>561</v>
      </c>
      <c r="C19" s="1" t="s">
        <v>164</v>
      </c>
      <c r="D19" s="1" t="s">
        <v>129</v>
      </c>
    </row>
    <row r="20" spans="2:4" x14ac:dyDescent="0.2">
      <c r="B20" s="4" t="s">
        <v>562</v>
      </c>
      <c r="C20" s="1" t="s">
        <v>117</v>
      </c>
      <c r="D20" s="1" t="s">
        <v>129</v>
      </c>
    </row>
    <row r="21" spans="2:4" x14ac:dyDescent="0.2">
      <c r="B21" s="4" t="s">
        <v>563</v>
      </c>
      <c r="C21" s="1" t="s">
        <v>166</v>
      </c>
      <c r="D21" s="1" t="s">
        <v>129</v>
      </c>
    </row>
    <row r="22" spans="2:4" x14ac:dyDescent="0.2">
      <c r="B22" s="4" t="s">
        <v>564</v>
      </c>
      <c r="C22" s="1" t="s">
        <v>171</v>
      </c>
      <c r="D22" s="1" t="s">
        <v>129</v>
      </c>
    </row>
    <row r="23" spans="2:4" x14ac:dyDescent="0.2">
      <c r="B23" s="4" t="s">
        <v>565</v>
      </c>
      <c r="C23" s="1" t="s">
        <v>172</v>
      </c>
      <c r="D23" s="1" t="s">
        <v>129</v>
      </c>
    </row>
    <row r="24" spans="2:4" x14ac:dyDescent="0.2">
      <c r="B24" s="4" t="s">
        <v>566</v>
      </c>
      <c r="C24" s="1" t="s">
        <v>173</v>
      </c>
      <c r="D24" s="1" t="s">
        <v>129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A2A5-3E5D-442B-A152-9EF77F7F593B}">
  <sheetPr codeName="Sheet6">
    <tabColor rgb="FF00FF00"/>
  </sheetPr>
  <dimension ref="A3:D35"/>
  <sheetViews>
    <sheetView zoomScale="85" zoomScaleNormal="85" workbookViewId="0">
      <selection activeCell="B11" sqref="B11"/>
    </sheetView>
  </sheetViews>
  <sheetFormatPr baseColWidth="10" defaultColWidth="8.83203125" defaultRowHeight="15" x14ac:dyDescent="0.2"/>
  <cols>
    <col min="1" max="1" width="4.6640625" style="2" customWidth="1"/>
    <col min="2" max="2" width="10.5" style="2" customWidth="1"/>
    <col min="3" max="3" width="38.33203125" bestFit="1" customWidth="1"/>
    <col min="4" max="4" width="27.6640625" customWidth="1"/>
  </cols>
  <sheetData>
    <row r="3" spans="2:4" x14ac:dyDescent="0.2">
      <c r="C3" s="2"/>
      <c r="D3" s="2"/>
    </row>
    <row r="4" spans="2:4" x14ac:dyDescent="0.2">
      <c r="B4" s="3" t="s">
        <v>833</v>
      </c>
      <c r="C4" s="3" t="s">
        <v>672</v>
      </c>
      <c r="D4" s="3" t="s">
        <v>832</v>
      </c>
    </row>
    <row r="5" spans="2:4" x14ac:dyDescent="0.2">
      <c r="B5" s="5" t="s">
        <v>188</v>
      </c>
      <c r="C5" s="6" t="s">
        <v>252</v>
      </c>
      <c r="D5" s="6" t="s">
        <v>240</v>
      </c>
    </row>
    <row r="6" spans="2:4" x14ac:dyDescent="0.2">
      <c r="B6" s="5" t="s">
        <v>260</v>
      </c>
      <c r="C6" s="6" t="s">
        <v>259</v>
      </c>
      <c r="D6" s="6" t="s">
        <v>240</v>
      </c>
    </row>
    <row r="7" spans="2:4" x14ac:dyDescent="0.2">
      <c r="B7" s="4" t="s">
        <v>189</v>
      </c>
      <c r="C7" s="1" t="s">
        <v>140</v>
      </c>
      <c r="D7" s="1" t="s">
        <v>241</v>
      </c>
    </row>
    <row r="8" spans="2:4" x14ac:dyDescent="0.2">
      <c r="B8" s="4" t="s">
        <v>190</v>
      </c>
      <c r="C8" s="1" t="s">
        <v>136</v>
      </c>
      <c r="D8" s="1" t="s">
        <v>242</v>
      </c>
    </row>
    <row r="9" spans="2:4" x14ac:dyDescent="0.2">
      <c r="B9" s="4" t="s">
        <v>191</v>
      </c>
      <c r="C9" s="1" t="s">
        <v>137</v>
      </c>
      <c r="D9" s="1" t="s">
        <v>242</v>
      </c>
    </row>
    <row r="10" spans="2:4" x14ac:dyDescent="0.2">
      <c r="B10" s="4" t="s">
        <v>192</v>
      </c>
      <c r="C10" s="1" t="s">
        <v>138</v>
      </c>
      <c r="D10" s="1" t="s">
        <v>243</v>
      </c>
    </row>
    <row r="11" spans="2:4" x14ac:dyDescent="0.2">
      <c r="B11" s="4" t="s">
        <v>193</v>
      </c>
      <c r="C11" s="1" t="s">
        <v>139</v>
      </c>
      <c r="D11" s="1" t="s">
        <v>243</v>
      </c>
    </row>
    <row r="12" spans="2:4" x14ac:dyDescent="0.2">
      <c r="B12" s="4" t="s">
        <v>194</v>
      </c>
      <c r="C12" s="1" t="s">
        <v>145</v>
      </c>
      <c r="D12" s="1" t="s">
        <v>244</v>
      </c>
    </row>
    <row r="13" spans="2:4" x14ac:dyDescent="0.2">
      <c r="B13" s="4" t="s">
        <v>195</v>
      </c>
      <c r="C13" s="1" t="s">
        <v>143</v>
      </c>
      <c r="D13" s="1" t="s">
        <v>244</v>
      </c>
    </row>
    <row r="14" spans="2:4" x14ac:dyDescent="0.2">
      <c r="B14" s="4" t="s">
        <v>196</v>
      </c>
      <c r="C14" s="1" t="s">
        <v>159</v>
      </c>
      <c r="D14" s="1" t="s">
        <v>245</v>
      </c>
    </row>
    <row r="15" spans="2:4" x14ac:dyDescent="0.2">
      <c r="B15" s="4" t="s">
        <v>197</v>
      </c>
      <c r="C15" s="1" t="s">
        <v>158</v>
      </c>
      <c r="D15" s="1" t="s">
        <v>246</v>
      </c>
    </row>
    <row r="16" spans="2:4" x14ac:dyDescent="0.2">
      <c r="B16" s="4" t="s">
        <v>198</v>
      </c>
      <c r="C16" s="1" t="s">
        <v>154</v>
      </c>
      <c r="D16" s="1" t="s">
        <v>246</v>
      </c>
    </row>
    <row r="17" spans="2:4" x14ac:dyDescent="0.2">
      <c r="B17" s="4" t="s">
        <v>199</v>
      </c>
      <c r="C17" s="1" t="s">
        <v>155</v>
      </c>
      <c r="D17" s="1" t="s">
        <v>247</v>
      </c>
    </row>
    <row r="18" spans="2:4" x14ac:dyDescent="0.2">
      <c r="B18" s="4" t="s">
        <v>200</v>
      </c>
      <c r="C18" s="1" t="s">
        <v>156</v>
      </c>
      <c r="D18" s="1" t="s">
        <v>245</v>
      </c>
    </row>
    <row r="19" spans="2:4" x14ac:dyDescent="0.2">
      <c r="B19" s="4" t="s">
        <v>201</v>
      </c>
      <c r="C19" s="1" t="s">
        <v>152</v>
      </c>
      <c r="D19" s="1" t="s">
        <v>248</v>
      </c>
    </row>
    <row r="20" spans="2:4" x14ac:dyDescent="0.2">
      <c r="B20" s="4" t="s">
        <v>202</v>
      </c>
      <c r="C20" s="1" t="s">
        <v>151</v>
      </c>
      <c r="D20" s="1" t="s">
        <v>249</v>
      </c>
    </row>
    <row r="21" spans="2:4" x14ac:dyDescent="0.2">
      <c r="B21" s="4" t="s">
        <v>203</v>
      </c>
      <c r="C21" s="1" t="s">
        <v>153</v>
      </c>
      <c r="D21" s="1" t="s">
        <v>250</v>
      </c>
    </row>
    <row r="22" spans="2:4" x14ac:dyDescent="0.2">
      <c r="B22" s="4" t="s">
        <v>204</v>
      </c>
      <c r="C22" s="1" t="s">
        <v>147</v>
      </c>
      <c r="D22" s="1" t="s">
        <v>251</v>
      </c>
    </row>
    <row r="23" spans="2:4" x14ac:dyDescent="0.2">
      <c r="B23" s="4" t="s">
        <v>205</v>
      </c>
      <c r="C23" s="1" t="s">
        <v>149</v>
      </c>
      <c r="D23" s="1" t="s">
        <v>251</v>
      </c>
    </row>
    <row r="24" spans="2:4" x14ac:dyDescent="0.2">
      <c r="B24" s="4" t="s">
        <v>206</v>
      </c>
      <c r="C24" s="1" t="s">
        <v>148</v>
      </c>
      <c r="D24" s="1" t="s">
        <v>559</v>
      </c>
    </row>
    <row r="25" spans="2:4" x14ac:dyDescent="0.2">
      <c r="B25" s="4" t="s">
        <v>207</v>
      </c>
      <c r="C25" s="1" t="s">
        <v>163</v>
      </c>
      <c r="D25" s="1" t="s">
        <v>560</v>
      </c>
    </row>
    <row r="26" spans="2:4" x14ac:dyDescent="0.2">
      <c r="B26" s="4" t="s">
        <v>208</v>
      </c>
      <c r="C26" s="1" t="s">
        <v>164</v>
      </c>
      <c r="D26" s="1" t="s">
        <v>561</v>
      </c>
    </row>
    <row r="27" spans="2:4" x14ac:dyDescent="0.2">
      <c r="B27" s="4" t="s">
        <v>209</v>
      </c>
      <c r="C27" s="1" t="s">
        <v>165</v>
      </c>
      <c r="D27" s="1" t="s">
        <v>562</v>
      </c>
    </row>
    <row r="28" spans="2:4" x14ac:dyDescent="0.2">
      <c r="B28" s="4" t="s">
        <v>210</v>
      </c>
      <c r="C28" s="1" t="s">
        <v>166</v>
      </c>
      <c r="D28" s="1" t="s">
        <v>563</v>
      </c>
    </row>
    <row r="29" spans="2:4" x14ac:dyDescent="0.2">
      <c r="B29" s="4" t="s">
        <v>211</v>
      </c>
      <c r="C29" s="1" t="s">
        <v>167</v>
      </c>
      <c r="D29" s="1" t="s">
        <v>564</v>
      </c>
    </row>
    <row r="30" spans="2:4" x14ac:dyDescent="0.2">
      <c r="B30" s="4" t="s">
        <v>212</v>
      </c>
      <c r="C30" s="1" t="s">
        <v>168</v>
      </c>
      <c r="D30" s="1" t="s">
        <v>564</v>
      </c>
    </row>
    <row r="31" spans="2:4" x14ac:dyDescent="0.2">
      <c r="B31" s="4" t="s">
        <v>213</v>
      </c>
      <c r="C31" s="1" t="s">
        <v>174</v>
      </c>
      <c r="D31" s="1" t="s">
        <v>564</v>
      </c>
    </row>
    <row r="32" spans="2:4" x14ac:dyDescent="0.2">
      <c r="B32" s="4" t="s">
        <v>214</v>
      </c>
      <c r="C32" s="1" t="s">
        <v>169</v>
      </c>
      <c r="D32" s="1" t="s">
        <v>564</v>
      </c>
    </row>
    <row r="33" spans="2:4" x14ac:dyDescent="0.2">
      <c r="B33" s="4" t="s">
        <v>215</v>
      </c>
      <c r="C33" s="1" t="s">
        <v>170</v>
      </c>
      <c r="D33" s="1" t="s">
        <v>564</v>
      </c>
    </row>
    <row r="34" spans="2:4" x14ac:dyDescent="0.2">
      <c r="B34" s="4" t="s">
        <v>216</v>
      </c>
      <c r="C34" s="1" t="s">
        <v>172</v>
      </c>
      <c r="D34" s="1" t="s">
        <v>565</v>
      </c>
    </row>
    <row r="35" spans="2:4" x14ac:dyDescent="0.2">
      <c r="B35" s="4" t="s">
        <v>217</v>
      </c>
      <c r="C35" s="1" t="s">
        <v>173</v>
      </c>
      <c r="D35" s="1" t="s">
        <v>566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0F39-CB6C-4308-AA4B-CEC6AAEED393}">
  <sheetPr codeName="Sheet7">
    <tabColor rgb="FF00FF00"/>
  </sheetPr>
  <dimension ref="B3:D11"/>
  <sheetViews>
    <sheetView zoomScale="85" zoomScaleNormal="85" workbookViewId="0">
      <selection activeCell="F18" sqref="F18"/>
    </sheetView>
  </sheetViews>
  <sheetFormatPr baseColWidth="10" defaultColWidth="8.83203125" defaultRowHeight="15" x14ac:dyDescent="0.2"/>
  <cols>
    <col min="2" max="2" width="10.5" style="2" customWidth="1"/>
    <col min="3" max="3" width="29" bestFit="1" customWidth="1"/>
    <col min="4" max="4" width="19.33203125" bestFit="1" customWidth="1"/>
    <col min="5" max="5" width="16" bestFit="1" customWidth="1"/>
  </cols>
  <sheetData>
    <row r="3" spans="2:4" x14ac:dyDescent="0.2">
      <c r="C3" s="2"/>
      <c r="D3" s="2"/>
    </row>
    <row r="4" spans="2:4" x14ac:dyDescent="0.2">
      <c r="B4" s="3" t="s">
        <v>834</v>
      </c>
      <c r="C4" s="3" t="s">
        <v>657</v>
      </c>
    </row>
    <row r="5" spans="2:4" x14ac:dyDescent="0.2">
      <c r="B5" s="5" t="s">
        <v>784</v>
      </c>
      <c r="C5" s="6" t="s">
        <v>10</v>
      </c>
    </row>
    <row r="6" spans="2:4" x14ac:dyDescent="0.2">
      <c r="B6" s="4" t="s">
        <v>785</v>
      </c>
      <c r="C6" s="1" t="s">
        <v>795</v>
      </c>
    </row>
    <row r="7" spans="2:4" x14ac:dyDescent="0.2">
      <c r="B7" s="4" t="s">
        <v>786</v>
      </c>
      <c r="C7" s="1" t="s">
        <v>794</v>
      </c>
    </row>
    <row r="8" spans="2:4" x14ac:dyDescent="0.2">
      <c r="B8" s="4" t="s">
        <v>787</v>
      </c>
      <c r="C8" s="1" t="s">
        <v>793</v>
      </c>
    </row>
    <row r="9" spans="2:4" x14ac:dyDescent="0.2">
      <c r="B9" s="4" t="s">
        <v>788</v>
      </c>
      <c r="C9" s="1" t="s">
        <v>567</v>
      </c>
    </row>
    <row r="10" spans="2:4" x14ac:dyDescent="0.2">
      <c r="B10" s="4" t="s">
        <v>789</v>
      </c>
      <c r="C10" s="1" t="s">
        <v>792</v>
      </c>
    </row>
    <row r="11" spans="2:4" x14ac:dyDescent="0.2">
      <c r="B11" s="4" t="s">
        <v>790</v>
      </c>
      <c r="C11" s="1" t="s">
        <v>791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1515-4E29-4D85-8C7B-B558ECC1A123}">
  <sheetPr codeName="Sheet8">
    <tabColor rgb="FF00FF00"/>
  </sheetPr>
  <dimension ref="B3:D15"/>
  <sheetViews>
    <sheetView zoomScale="85" zoomScaleNormal="85" workbookViewId="0">
      <selection activeCell="B5" sqref="B5"/>
    </sheetView>
  </sheetViews>
  <sheetFormatPr baseColWidth="10" defaultColWidth="8.83203125" defaultRowHeight="15" x14ac:dyDescent="0.2"/>
  <cols>
    <col min="2" max="2" width="10.5" style="2" customWidth="1"/>
    <col min="3" max="3" width="29" bestFit="1" customWidth="1"/>
    <col min="4" max="4" width="35.5" customWidth="1"/>
    <col min="5" max="5" width="16" bestFit="1" customWidth="1"/>
  </cols>
  <sheetData>
    <row r="3" spans="2:4" x14ac:dyDescent="0.2">
      <c r="C3" s="2"/>
      <c r="D3" s="2"/>
    </row>
    <row r="4" spans="2:4" x14ac:dyDescent="0.2">
      <c r="B4" s="3" t="s">
        <v>673</v>
      </c>
      <c r="C4" s="3" t="s">
        <v>756</v>
      </c>
      <c r="D4" s="3" t="s">
        <v>755</v>
      </c>
    </row>
    <row r="5" spans="2:4" x14ac:dyDescent="0.2">
      <c r="B5" s="5" t="s">
        <v>327</v>
      </c>
      <c r="C5" s="6" t="s">
        <v>10</v>
      </c>
      <c r="D5" s="6" t="s">
        <v>91</v>
      </c>
    </row>
    <row r="6" spans="2:4" x14ac:dyDescent="0.2">
      <c r="B6" s="4" t="s">
        <v>253</v>
      </c>
      <c r="C6" s="1" t="s">
        <v>766</v>
      </c>
      <c r="D6" s="1" t="s">
        <v>768</v>
      </c>
    </row>
    <row r="7" spans="2:4" x14ac:dyDescent="0.2">
      <c r="B7" s="4" t="s">
        <v>568</v>
      </c>
      <c r="C7" s="1" t="s">
        <v>767</v>
      </c>
      <c r="D7" s="1" t="s">
        <v>380</v>
      </c>
    </row>
    <row r="8" spans="2:4" x14ac:dyDescent="0.2">
      <c r="B8" s="4" t="s">
        <v>257</v>
      </c>
      <c r="C8" s="1" t="s">
        <v>765</v>
      </c>
      <c r="D8" s="1" t="s">
        <v>382</v>
      </c>
    </row>
    <row r="9" spans="2:4" x14ac:dyDescent="0.2">
      <c r="B9" s="4" t="s">
        <v>650</v>
      </c>
      <c r="C9" s="1" t="s">
        <v>771</v>
      </c>
      <c r="D9" s="1" t="s">
        <v>383</v>
      </c>
    </row>
    <row r="10" spans="2:4" x14ac:dyDescent="0.2">
      <c r="B10" s="4" t="s">
        <v>773</v>
      </c>
      <c r="C10" s="1" t="s">
        <v>772</v>
      </c>
      <c r="D10" s="1" t="s">
        <v>779</v>
      </c>
    </row>
    <row r="11" spans="2:4" x14ac:dyDescent="0.2">
      <c r="B11" s="4" t="s">
        <v>777</v>
      </c>
      <c r="C11" s="1" t="s">
        <v>778</v>
      </c>
      <c r="D11" s="1" t="s">
        <v>780</v>
      </c>
    </row>
    <row r="12" spans="2:4" x14ac:dyDescent="0.2">
      <c r="B12" s="4" t="s">
        <v>763</v>
      </c>
      <c r="C12" s="1" t="s">
        <v>762</v>
      </c>
      <c r="D12" s="1" t="s">
        <v>329</v>
      </c>
    </row>
    <row r="13" spans="2:4" x14ac:dyDescent="0.2">
      <c r="B13" s="4" t="s">
        <v>770</v>
      </c>
      <c r="C13" s="1" t="s">
        <v>769</v>
      </c>
      <c r="D13" s="1" t="s">
        <v>337</v>
      </c>
    </row>
    <row r="14" spans="2:4" x14ac:dyDescent="0.2">
      <c r="B14" s="4" t="s">
        <v>651</v>
      </c>
      <c r="C14" s="1" t="s">
        <v>764</v>
      </c>
      <c r="D14" s="1" t="s">
        <v>342</v>
      </c>
    </row>
    <row r="15" spans="2:4" x14ac:dyDescent="0.2">
      <c r="B15" s="4" t="s">
        <v>776</v>
      </c>
      <c r="C15" s="1" t="s">
        <v>774</v>
      </c>
      <c r="D15" s="1" t="s">
        <v>775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76B4-8B89-4270-B99C-31CF1DB7614A}">
  <sheetPr codeName="Sheet11">
    <tabColor rgb="FF00FF00"/>
  </sheetPr>
  <dimension ref="B5:K27"/>
  <sheetViews>
    <sheetView showGridLines="0" zoomScale="85" zoomScaleNormal="85" workbookViewId="0">
      <selection activeCell="G32" sqref="G32"/>
    </sheetView>
  </sheetViews>
  <sheetFormatPr baseColWidth="10" defaultColWidth="8.83203125" defaultRowHeight="15" x14ac:dyDescent="0.2"/>
  <cols>
    <col min="1" max="1" width="2.6640625" customWidth="1"/>
    <col min="2" max="2" width="12" bestFit="1" customWidth="1"/>
    <col min="3" max="3" width="21.5" bestFit="1" customWidth="1"/>
    <col min="4" max="4" width="19.6640625" bestFit="1" customWidth="1"/>
    <col min="5" max="5" width="25.1640625" bestFit="1" customWidth="1"/>
    <col min="6" max="6" width="12.5" bestFit="1" customWidth="1"/>
    <col min="7" max="8" width="13.1640625" bestFit="1" customWidth="1"/>
    <col min="9" max="9" width="123.1640625" bestFit="1" customWidth="1"/>
    <col min="10" max="10" width="39.5" bestFit="1" customWidth="1"/>
    <col min="11" max="11" width="228.83203125" bestFit="1" customWidth="1"/>
  </cols>
  <sheetData>
    <row r="5" spans="2:11" s="29" customFormat="1" ht="14" x14ac:dyDescent="0.2"/>
    <row r="6" spans="2:11" x14ac:dyDescent="0.2">
      <c r="B6" s="23" t="s">
        <v>742</v>
      </c>
      <c r="C6" s="24" t="s">
        <v>755</v>
      </c>
      <c r="D6" s="24" t="s">
        <v>657</v>
      </c>
      <c r="E6" s="24" t="s">
        <v>673</v>
      </c>
      <c r="F6" s="24" t="s">
        <v>757</v>
      </c>
      <c r="G6" s="24" t="s">
        <v>758</v>
      </c>
      <c r="H6" s="24" t="s">
        <v>759</v>
      </c>
      <c r="I6" s="24" t="s">
        <v>760</v>
      </c>
      <c r="J6" s="24" t="s">
        <v>761</v>
      </c>
      <c r="K6" s="25" t="s">
        <v>261</v>
      </c>
    </row>
    <row r="7" spans="2:11" x14ac:dyDescent="0.2">
      <c r="B7" s="30" t="s">
        <v>328</v>
      </c>
      <c r="C7" s="14" t="s">
        <v>329</v>
      </c>
      <c r="D7" s="14" t="s">
        <v>330</v>
      </c>
      <c r="E7" s="14" t="s">
        <v>763</v>
      </c>
      <c r="F7" s="14" t="s">
        <v>331</v>
      </c>
      <c r="G7" s="14" t="s">
        <v>332</v>
      </c>
      <c r="H7" s="14" t="s">
        <v>333</v>
      </c>
      <c r="I7" s="14" t="s">
        <v>334</v>
      </c>
      <c r="J7" s="14" t="s">
        <v>335</v>
      </c>
      <c r="K7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('A01','Taman Anggrek Residence','Apartement','AMA','Indonesia','Jakarta','Jakarta Barat','Jl. Tj. Duren Timur 2 No.12, RT.12/RW.1, Tj. Duren Sel., Kec. Grogol petamburan, Kota Jakarta Barat, Daerah Khusus Ibukota Jakarta 11470','https://maps.app.goo.gl/RczWGcAEpFTuXA6G7'),</v>
      </c>
    </row>
    <row r="8" spans="2:11" x14ac:dyDescent="0.2">
      <c r="B8" s="30" t="s">
        <v>336</v>
      </c>
      <c r="C8" s="14" t="s">
        <v>337</v>
      </c>
      <c r="D8" s="14" t="s">
        <v>330</v>
      </c>
      <c r="E8" s="14" t="s">
        <v>770</v>
      </c>
      <c r="F8" s="14" t="s">
        <v>331</v>
      </c>
      <c r="G8" s="14" t="s">
        <v>332</v>
      </c>
      <c r="H8" s="14" t="s">
        <v>338</v>
      </c>
      <c r="I8" s="14" t="s">
        <v>339</v>
      </c>
      <c r="J8" s="14" t="s">
        <v>340</v>
      </c>
      <c r="K8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('A02','Fatmawati City Center','Apartement','KAM','Indonesia','Jakarta','Jakarta Selatan','Jl. Fatmawati Raya, RT.3/RW.9, Cilandak Bar., Kec. Cilandak, Kota Jakarta Selatan, Daerah Khusus Ibukota Jakarta 12430','https://maps.app.goo.gl/cZ7XNNiT6Kxgmu7f7'),</v>
      </c>
    </row>
    <row r="9" spans="2:11" x14ac:dyDescent="0.2">
      <c r="B9" s="30" t="s">
        <v>341</v>
      </c>
      <c r="C9" s="14" t="s">
        <v>342</v>
      </c>
      <c r="D9" s="14" t="s">
        <v>330</v>
      </c>
      <c r="E9" s="14" t="s">
        <v>651</v>
      </c>
      <c r="F9" s="14" t="s">
        <v>331</v>
      </c>
      <c r="G9" s="14" t="s">
        <v>332</v>
      </c>
      <c r="H9" s="14" t="s">
        <v>343</v>
      </c>
      <c r="I9" s="14" t="s">
        <v>344</v>
      </c>
      <c r="J9" s="14" t="s">
        <v>345</v>
      </c>
      <c r="K9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('A03','Menara Jakarta','Apartement','PPP','Indonesia','Jakarta','Jakarta Utara','Arena Pekan Raya Jkt - Kemayoran, Jl. H. Benyamin Sueb No.10, RW.10, Gn. Sahari Sel., Kec. Kemayoran, Jkt Utara, Daerah Khusus Ibukota Jakarta 14410','https://maps.app.goo.gl/nmdtJgPT3FR2HnWU6'),</v>
      </c>
    </row>
    <row r="10" spans="2:11" hidden="1" x14ac:dyDescent="0.2">
      <c r="B10" s="30" t="s">
        <v>346</v>
      </c>
      <c r="C10" s="14" t="s">
        <v>347</v>
      </c>
      <c r="D10" s="14" t="s">
        <v>330</v>
      </c>
      <c r="E10" s="14"/>
      <c r="F10" s="14" t="s">
        <v>331</v>
      </c>
      <c r="G10" s="14" t="s">
        <v>332</v>
      </c>
      <c r="H10" s="14" t="s">
        <v>343</v>
      </c>
      <c r="I10" s="14" t="s">
        <v>348</v>
      </c>
      <c r="J10" s="14" t="s">
        <v>349</v>
      </c>
      <c r="K10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('A04','French Walk','Apartement','','Indonesia','Jakarta','Jakarta Utara','Kelapa Gading Barat, Kelapa Gading, RT.18/RW.8, RT.18/RW.8, Klp. Gading Bar., Jakarta Utara, Jkt Utara, Daerah Khusus Ibukota Jakarta 14240','https://maps.app.goo.gl/pbEgWFSERS9ka2n28'),</v>
      </c>
    </row>
    <row r="11" spans="2:11" x14ac:dyDescent="0.2">
      <c r="B11" s="30" t="s">
        <v>350</v>
      </c>
      <c r="C11" s="14" t="s">
        <v>351</v>
      </c>
      <c r="D11" s="14" t="s">
        <v>352</v>
      </c>
      <c r="E11" s="14" t="s">
        <v>776</v>
      </c>
      <c r="F11" s="14" t="s">
        <v>331</v>
      </c>
      <c r="G11" s="14" t="s">
        <v>332</v>
      </c>
      <c r="H11" s="14" t="s">
        <v>343</v>
      </c>
      <c r="I11" s="14" t="s">
        <v>353</v>
      </c>
      <c r="J11" s="14" t="s">
        <v>354</v>
      </c>
      <c r="K11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('F01','FLIX PIK','Cinema','SAM','Indonesia','Jakarta','Jakarta Utara','Pantai Indah Kapuk St Boulevard, RT.6/RW.2, Kamal Muara, Penjaringan, North Jakarta City, Jakarta 14470','https://maps.app.goo.gl/y1gkFm9bwuNjVQe2A'),</v>
      </c>
    </row>
    <row r="12" spans="2:11" x14ac:dyDescent="0.2">
      <c r="B12" s="30" t="s">
        <v>355</v>
      </c>
      <c r="C12" s="14" t="s">
        <v>356</v>
      </c>
      <c r="D12" s="14" t="s">
        <v>352</v>
      </c>
      <c r="E12" s="14" t="s">
        <v>776</v>
      </c>
      <c r="F12" s="14" t="s">
        <v>331</v>
      </c>
      <c r="G12" s="14" t="s">
        <v>332</v>
      </c>
      <c r="H12" s="14" t="s">
        <v>343</v>
      </c>
      <c r="I12" s="14" t="s">
        <v>357</v>
      </c>
      <c r="J12" s="14" t="s">
        <v>358</v>
      </c>
      <c r="K12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('F02','FLIX MOI','Cinema','SAM','Indonesia','Jakarta','Jakarta Utara','Jl. Boulevard Bar. Raya No.12, RT.18/RW.19, Klp. Gading Bar., Kec. Klp. Gading, Jkt Utara, Daerah Khusus Ibukota Jakarta 14240','https://maps.app.goo.gl/CDafTWd9qFpdTmW67'),</v>
      </c>
    </row>
    <row r="13" spans="2:11" x14ac:dyDescent="0.2">
      <c r="B13" s="30" t="s">
        <v>359</v>
      </c>
      <c r="C13" s="14" t="s">
        <v>360</v>
      </c>
      <c r="D13" s="14" t="s">
        <v>352</v>
      </c>
      <c r="E13" s="14" t="s">
        <v>776</v>
      </c>
      <c r="F13" s="14" t="s">
        <v>331</v>
      </c>
      <c r="G13" s="14" t="s">
        <v>332</v>
      </c>
      <c r="H13" s="14" t="s">
        <v>361</v>
      </c>
      <c r="I13" s="14" t="s">
        <v>362</v>
      </c>
      <c r="J13" s="14" t="s">
        <v>363</v>
      </c>
      <c r="K13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('F03','FLIX GGP','Cinema','SAM','Indonesia','Jakarta','Bekasi Selatan','Jl. Boulevard Raya No.1, RT.003/RW.017, Jaka Setia, Kec. Bekasi Sel., Kota Bks, Jawa Barat 17147','https://maps.app.goo.gl/8VVfF28Grsr9G2mU8'),</v>
      </c>
    </row>
    <row r="14" spans="2:11" x14ac:dyDescent="0.2">
      <c r="B14" s="30" t="s">
        <v>364</v>
      </c>
      <c r="C14" s="14" t="s">
        <v>365</v>
      </c>
      <c r="D14" s="14" t="s">
        <v>352</v>
      </c>
      <c r="E14" s="14" t="s">
        <v>776</v>
      </c>
      <c r="F14" s="14" t="s">
        <v>331</v>
      </c>
      <c r="G14" s="14" t="s">
        <v>332</v>
      </c>
      <c r="H14" s="14" t="s">
        <v>338</v>
      </c>
      <c r="I14" s="14" t="s">
        <v>366</v>
      </c>
      <c r="J14" s="14" t="s">
        <v>367</v>
      </c>
      <c r="K14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('F04','FLIX ASHTA','Cinema','SAM','Indonesia','Jakarta','Jakarta Selatan','Jl. Senopati No.83, Senayan, Kec. Kby. Baru, Kota Jakarta Selatan, Daerah Khusus Ibukota Jakarta 12190','https://maps.app.goo.gl/JJhw2MQg4rf476B59'),</v>
      </c>
    </row>
    <row r="15" spans="2:11" x14ac:dyDescent="0.2">
      <c r="B15" s="30" t="s">
        <v>368</v>
      </c>
      <c r="C15" s="14" t="s">
        <v>369</v>
      </c>
      <c r="D15" s="14" t="s">
        <v>352</v>
      </c>
      <c r="E15" s="14" t="s">
        <v>776</v>
      </c>
      <c r="F15" s="14" t="s">
        <v>331</v>
      </c>
      <c r="G15" s="14" t="s">
        <v>332</v>
      </c>
      <c r="H15" s="14" t="s">
        <v>343</v>
      </c>
      <c r="I15" s="14" t="s">
        <v>357</v>
      </c>
      <c r="J15" s="14" t="s">
        <v>358</v>
      </c>
      <c r="K15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('F99','FLIX SHQ','Cinema','SAM','Indonesia','Jakarta','Jakarta Utara','Jl. Boulevard Bar. Raya No.12, RT.18/RW.19, Klp. Gading Bar., Kec. Klp. Gading, Jkt Utara, Daerah Khusus Ibukota Jakarta 14240','https://maps.app.goo.gl/CDafTWd9qFpdTmW67'),</v>
      </c>
    </row>
    <row r="16" spans="2:11" hidden="1" x14ac:dyDescent="0.2">
      <c r="B16" s="30" t="s">
        <v>370</v>
      </c>
      <c r="C16" s="14" t="s">
        <v>371</v>
      </c>
      <c r="D16" s="14" t="s">
        <v>372</v>
      </c>
      <c r="E16" s="14"/>
      <c r="F16" s="14" t="s">
        <v>331</v>
      </c>
      <c r="G16" s="14" t="s">
        <v>332</v>
      </c>
      <c r="H16" s="14" t="s">
        <v>343</v>
      </c>
      <c r="I16" s="14" t="s">
        <v>353</v>
      </c>
      <c r="J16" s="14" t="s">
        <v>354</v>
      </c>
      <c r="K16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('H01','Swiss Hotel','Hotel','','Indonesia','Jakarta','Jakarta Utara','Pantai Indah Kapuk St Boulevard, RT.6/RW.2, Kamal Muara, Penjaringan, North Jakarta City, Jakarta 14470','https://maps.app.goo.gl/y1gkFm9bwuNjVQe2A'),</v>
      </c>
    </row>
    <row r="17" spans="2:11" hidden="1" x14ac:dyDescent="0.2">
      <c r="B17" s="30" t="s">
        <v>373</v>
      </c>
      <c r="C17" s="14" t="s">
        <v>374</v>
      </c>
      <c r="D17" s="14" t="s">
        <v>372</v>
      </c>
      <c r="E17" s="14"/>
      <c r="F17" s="14" t="s">
        <v>331</v>
      </c>
      <c r="G17" s="14" t="s">
        <v>332</v>
      </c>
      <c r="H17" s="14" t="s">
        <v>343</v>
      </c>
      <c r="I17" s="14" t="s">
        <v>353</v>
      </c>
      <c r="J17" s="14" t="s">
        <v>354</v>
      </c>
      <c r="K17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('H02','Mercure','Hotel','','Indonesia','Jakarta','Jakarta Utara','Pantai Indah Kapuk St Boulevard, RT.6/RW.2, Kamal Muara, Penjaringan, North Jakarta City, Jakarta 14470','https://maps.app.goo.gl/y1gkFm9bwuNjVQe2A'),</v>
      </c>
    </row>
    <row r="18" spans="2:11" hidden="1" x14ac:dyDescent="0.2">
      <c r="B18" s="30" t="s">
        <v>375</v>
      </c>
      <c r="C18" s="14" t="s">
        <v>376</v>
      </c>
      <c r="D18" s="14" t="s">
        <v>372</v>
      </c>
      <c r="E18" s="14"/>
      <c r="F18" s="14" t="s">
        <v>331</v>
      </c>
      <c r="G18" s="14" t="s">
        <v>332</v>
      </c>
      <c r="H18" s="14" t="s">
        <v>338</v>
      </c>
      <c r="I18" s="14" t="s">
        <v>377</v>
      </c>
      <c r="J18" s="14" t="s">
        <v>378</v>
      </c>
      <c r="K18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('H03','Lengham','Hotel','','Indonesia','Jakarta','Jakarta Selatan','Jalan Senopati Raya No.8B, RT.5/RW.3, Senayan, Kec. Kby. Baru, Kota Jakarta Selatan, Daerah Khusus Ibukota Jakarta 12190','https://maps.app.goo.gl/RNChXHeZVaHL4C5HA'),</v>
      </c>
    </row>
    <row r="19" spans="2:11" x14ac:dyDescent="0.2">
      <c r="B19" s="30" t="s">
        <v>379</v>
      </c>
      <c r="C19" s="14" t="s">
        <v>380</v>
      </c>
      <c r="D19" s="14" t="s">
        <v>381</v>
      </c>
      <c r="E19" s="14" t="s">
        <v>568</v>
      </c>
      <c r="F19" s="14" t="s">
        <v>331</v>
      </c>
      <c r="G19" s="14" t="s">
        <v>332</v>
      </c>
      <c r="H19" s="14" t="s">
        <v>343</v>
      </c>
      <c r="I19" s="14" t="s">
        <v>353</v>
      </c>
      <c r="J19" s="14" t="s">
        <v>354</v>
      </c>
      <c r="K19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('M01','PIK Avenue','Mall','MAP','Indonesia','Jakarta','Jakarta Utara','Pantai Indah Kapuk St Boulevard, RT.6/RW.2, Kamal Muara, Penjaringan, North Jakarta City, Jakarta 14470','https://maps.app.goo.gl/y1gkFm9bwuNjVQe2A'),</v>
      </c>
    </row>
    <row r="20" spans="2:11" x14ac:dyDescent="0.2">
      <c r="B20" s="30" t="s">
        <v>254</v>
      </c>
      <c r="C20" s="14" t="s">
        <v>382</v>
      </c>
      <c r="D20" s="14" t="s">
        <v>381</v>
      </c>
      <c r="E20" s="14" t="s">
        <v>782</v>
      </c>
      <c r="F20" s="14" t="s">
        <v>331</v>
      </c>
      <c r="G20" s="14" t="s">
        <v>332</v>
      </c>
      <c r="H20" s="14" t="s">
        <v>343</v>
      </c>
      <c r="I20" s="14" t="s">
        <v>357</v>
      </c>
      <c r="J20" s="14" t="s">
        <v>358</v>
      </c>
      <c r="K20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('M02','MOI','Mall','MJS; MAS','Indonesia','Jakarta','Jakarta Utara','Jl. Boulevard Bar. Raya No.12, RT.18/RW.19, Klp. Gading Bar., Kec. Klp. Gading, Jkt Utara, Daerah Khusus Ibukota Jakarta 14240','https://maps.app.goo.gl/CDafTWd9qFpdTmW67'),</v>
      </c>
    </row>
    <row r="21" spans="2:11" x14ac:dyDescent="0.2">
      <c r="B21" s="30" t="s">
        <v>256</v>
      </c>
      <c r="C21" s="14" t="s">
        <v>383</v>
      </c>
      <c r="D21" s="14" t="s">
        <v>381</v>
      </c>
      <c r="E21" s="14" t="s">
        <v>781</v>
      </c>
      <c r="F21" s="14" t="s">
        <v>331</v>
      </c>
      <c r="G21" s="14" t="s">
        <v>384</v>
      </c>
      <c r="H21" s="14" t="s">
        <v>361</v>
      </c>
      <c r="I21" s="14" t="s">
        <v>362</v>
      </c>
      <c r="J21" s="14" t="s">
        <v>363</v>
      </c>
      <c r="K21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('M03','GGP','Mall','BJK; MAS','Indonesia','Jawa Barat','Bekasi Selatan','Jl. Boulevard Raya No.1, RT.003/RW.017, Jaka Setia, Kec. Bekasi Sel., Kota Bks, Jawa Barat 17147','https://maps.app.goo.gl/8VVfF28Grsr9G2mU8'),</v>
      </c>
    </row>
    <row r="22" spans="2:11" x14ac:dyDescent="0.2">
      <c r="B22" s="30" t="s">
        <v>385</v>
      </c>
      <c r="C22" s="14" t="s">
        <v>386</v>
      </c>
      <c r="D22" s="14" t="s">
        <v>381</v>
      </c>
      <c r="E22" s="14" t="s">
        <v>253</v>
      </c>
      <c r="F22" s="14" t="s">
        <v>331</v>
      </c>
      <c r="G22" s="14" t="s">
        <v>332</v>
      </c>
      <c r="H22" s="14" t="s">
        <v>338</v>
      </c>
      <c r="I22" s="14" t="s">
        <v>366</v>
      </c>
      <c r="J22" s="14" t="s">
        <v>367</v>
      </c>
      <c r="K22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('M04','ASHTA','Mall','MAS','Indonesia','Jakarta','Jakarta Selatan','Jl. Senopati No.83, Senayan, Kec. Kby. Baru, Kota Jakarta Selatan, Daerah Khusus Ibukota Jakarta 12190','https://maps.app.goo.gl/JJhw2MQg4rf476B59'),</v>
      </c>
    </row>
    <row r="23" spans="2:11" x14ac:dyDescent="0.2">
      <c r="B23" s="30" t="s">
        <v>387</v>
      </c>
      <c r="C23" s="14" t="s">
        <v>388</v>
      </c>
      <c r="D23" s="14" t="s">
        <v>381</v>
      </c>
      <c r="E23" s="14" t="s">
        <v>253</v>
      </c>
      <c r="F23" s="14" t="s">
        <v>331</v>
      </c>
      <c r="G23" s="14" t="s">
        <v>332</v>
      </c>
      <c r="H23" s="14" t="s">
        <v>333</v>
      </c>
      <c r="I23" s="14" t="s">
        <v>389</v>
      </c>
      <c r="J23" s="14" t="s">
        <v>390</v>
      </c>
      <c r="K23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('M05','Hublife','Mall','MAS','Indonesia','Jakarta','Jakarta Barat','Jl. Tanjung Duren Timur No.2, RW.5, Tj. Duren Sel., Kec. Grogol petamburan, Kota Jakarta Barat, Daerah Khusus Ibukota Jakarta 11470','https://maps.app.goo.gl/xFdujp585bfoE3qn6'),</v>
      </c>
    </row>
    <row r="24" spans="2:11" x14ac:dyDescent="0.2">
      <c r="B24" s="30" t="s">
        <v>391</v>
      </c>
      <c r="C24" s="14" t="s">
        <v>404</v>
      </c>
      <c r="D24" s="14" t="s">
        <v>381</v>
      </c>
      <c r="E24" s="14" t="s">
        <v>253</v>
      </c>
      <c r="F24" s="14" t="s">
        <v>331</v>
      </c>
      <c r="G24" s="14" t="s">
        <v>332</v>
      </c>
      <c r="H24" s="14" t="s">
        <v>343</v>
      </c>
      <c r="I24" s="14" t="s">
        <v>344</v>
      </c>
      <c r="J24" s="14" t="s">
        <v>345</v>
      </c>
      <c r="K24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('M06','K-Mall','Mall','MAS','Indonesia','Jakarta','Jakarta Utara','Arena Pekan Raya Jkt - Kemayoran, Jl. H. Benyamin Sueb No.10, RW.10, Gn. Sahari Sel., Kec. Kemayoran, Jkt Utara, Daerah Khusus Ibukota Jakarta 14410','https://maps.app.goo.gl/nmdtJgPT3FR2HnWU6'),</v>
      </c>
    </row>
    <row r="25" spans="2:11" x14ac:dyDescent="0.2">
      <c r="B25" s="30" t="s">
        <v>255</v>
      </c>
      <c r="C25" s="14" t="s">
        <v>392</v>
      </c>
      <c r="D25" s="14" t="s">
        <v>393</v>
      </c>
      <c r="E25" s="14" t="s">
        <v>253</v>
      </c>
      <c r="F25" s="14" t="s">
        <v>331</v>
      </c>
      <c r="G25" s="14" t="s">
        <v>332</v>
      </c>
      <c r="H25" s="14" t="s">
        <v>343</v>
      </c>
      <c r="I25" s="14" t="s">
        <v>394</v>
      </c>
      <c r="J25" s="14" t="s">
        <v>395</v>
      </c>
      <c r="K25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('O99','ASG Tower','Ofiice','MAS','Indonesia','Jakarta','Jakarta Utara','ASG Tower, Jl. Pantai Indah Kapuk No.2, RT.6/RW.2, Kamal Muara, Kec. Penjaringan, Jkt Utara, Daerah Khusus Ibukota Jakarta 14470','https://maps.app.goo.gl/rTbagH72jdi6VfLk9'),</v>
      </c>
    </row>
    <row r="26" spans="2:11" x14ac:dyDescent="0.2">
      <c r="B26" s="30" t="s">
        <v>396</v>
      </c>
      <c r="C26" s="14" t="s">
        <v>397</v>
      </c>
      <c r="D26" s="14" t="s">
        <v>393</v>
      </c>
      <c r="E26" s="14" t="s">
        <v>783</v>
      </c>
      <c r="F26" s="14" t="s">
        <v>331</v>
      </c>
      <c r="G26" s="14" t="s">
        <v>332</v>
      </c>
      <c r="H26" s="14" t="s">
        <v>338</v>
      </c>
      <c r="I26" s="14" t="s">
        <v>377</v>
      </c>
      <c r="J26" s="14" t="s">
        <v>378</v>
      </c>
      <c r="K26" s="26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('OD8','District 8','Ofiice','KAP; KMB','Indonesia','Jakarta','Jakarta Selatan','Jalan Senopati Raya No.8B, RT.5/RW.3, Senayan, Kec. Kby. Baru, Kota Jakarta Selatan, Daerah Khusus Ibukota Jakarta 12190','https://maps.app.goo.gl/RNChXHeZVaHL4C5HA'),</v>
      </c>
    </row>
    <row r="27" spans="2:11" x14ac:dyDescent="0.2">
      <c r="B27" s="31" t="s">
        <v>327</v>
      </c>
      <c r="C27" s="27" t="s">
        <v>398</v>
      </c>
      <c r="D27" s="27" t="s">
        <v>399</v>
      </c>
      <c r="E27" s="27" t="s">
        <v>327</v>
      </c>
      <c r="F27" s="27" t="s">
        <v>400</v>
      </c>
      <c r="G27" s="27" t="s">
        <v>401</v>
      </c>
      <c r="H27" s="27" t="s">
        <v>402</v>
      </c>
      <c r="I27" s="27" t="s">
        <v>403</v>
      </c>
      <c r="J27" s="27"/>
      <c r="K27" s="28" t="str">
        <f>"('"&amp;db_site[[#This Row],[id_site]]&amp;"','"&amp;
db_site[[#This Row],[site]]&amp;"','"&amp;
db_site[[#This Row],[business_unit]]&amp;"','"&amp;
db_site[[#This Row],[id_corp]]&amp;"','"&amp;
db_site[[#This Row],[country]]&amp;"','"&amp;
db_site[[#This Row],[provincy]]&amp;"','"&amp;
db_site[[#This Row],[city]]&amp;"','"&amp;
db_site[[#This Row],[address]]&amp;"','"&amp;
db_site[[#This Row],[url_maps]]&amp;"'),"</f>
        <v>('VAC','No SITE','No Placement','VAC','No Country','No Provincy','No City','No Address',''),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B627-731B-484F-B06A-DDD6E7B14D30}">
  <sheetPr codeName="Sheet9">
    <tabColor rgb="FF00FF00"/>
  </sheetPr>
  <dimension ref="B3:H22"/>
  <sheetViews>
    <sheetView showGridLines="0" zoomScale="85" zoomScaleNormal="85" workbookViewId="0">
      <selection activeCell="G6" sqref="G6"/>
    </sheetView>
  </sheetViews>
  <sheetFormatPr baseColWidth="10" defaultColWidth="8.83203125" defaultRowHeight="15" x14ac:dyDescent="0.2"/>
  <cols>
    <col min="1" max="1" width="2.6640625" customWidth="1"/>
    <col min="2" max="2" width="25" style="2" bestFit="1" customWidth="1"/>
    <col min="3" max="3" width="13.83203125" bestFit="1" customWidth="1"/>
    <col min="4" max="4" width="13.5" customWidth="1"/>
    <col min="5" max="5" width="12.6640625" bestFit="1" customWidth="1"/>
    <col min="6" max="6" width="17.5" bestFit="1" customWidth="1"/>
    <col min="7" max="7" width="18.33203125" bestFit="1" customWidth="1"/>
    <col min="8" max="8" width="12.5" customWidth="1"/>
  </cols>
  <sheetData>
    <row r="3" spans="2:8" x14ac:dyDescent="0.2">
      <c r="C3" s="2"/>
      <c r="D3" s="2"/>
      <c r="E3" s="2"/>
      <c r="F3" s="2"/>
      <c r="G3" s="2"/>
      <c r="H3" s="2"/>
    </row>
    <row r="4" spans="2:8" x14ac:dyDescent="0.2">
      <c r="B4" s="3" t="s">
        <v>664</v>
      </c>
      <c r="C4" s="3" t="s">
        <v>652</v>
      </c>
      <c r="D4" s="3" t="s">
        <v>675</v>
      </c>
      <c r="E4" s="3" t="s">
        <v>847</v>
      </c>
      <c r="F4" s="3" t="s">
        <v>676</v>
      </c>
      <c r="G4" s="3" t="s">
        <v>677</v>
      </c>
      <c r="H4" s="3" t="s">
        <v>678</v>
      </c>
    </row>
    <row r="5" spans="2:8" x14ac:dyDescent="0.2">
      <c r="B5" s="8" t="s">
        <v>306</v>
      </c>
      <c r="C5" s="4">
        <v>101101</v>
      </c>
      <c r="D5" s="6" t="str">
        <f>_xlfn.IFNA(_xlfn.TEXTAFTER(LEVEL10[[#This Row],[email]],"@"),"NULL")</f>
        <v>asri.co.id</v>
      </c>
      <c r="E5" s="6" t="s">
        <v>282</v>
      </c>
      <c r="F5" s="11" t="s">
        <v>305</v>
      </c>
      <c r="G5" s="6" t="s">
        <v>284</v>
      </c>
      <c r="H5" s="5" t="s">
        <v>302</v>
      </c>
    </row>
    <row r="6" spans="2:8" x14ac:dyDescent="0.2">
      <c r="B6" s="9" t="s">
        <v>263</v>
      </c>
      <c r="C6" s="4">
        <v>180362</v>
      </c>
      <c r="D6" s="1" t="str">
        <f>_xlfn.IFNA(_xlfn.TEXTAFTER(LEVEL10[[#This Row],[email]],"@"),"NULL")</f>
        <v>asri.co.id</v>
      </c>
      <c r="E6" s="1" t="s">
        <v>281</v>
      </c>
      <c r="F6" s="12" t="s">
        <v>305</v>
      </c>
      <c r="G6" s="1" t="s">
        <v>284</v>
      </c>
      <c r="H6" s="4" t="s">
        <v>301</v>
      </c>
    </row>
    <row r="7" spans="2:8" x14ac:dyDescent="0.2">
      <c r="B7" s="9" t="s">
        <v>264</v>
      </c>
      <c r="C7" s="4">
        <v>220290</v>
      </c>
      <c r="D7" s="1" t="str">
        <f>_xlfn.IFNA(_xlfn.TEXTAFTER(LEVEL10[[#This Row],[email]],"@"),"NULL")</f>
        <v>asri.co.id</v>
      </c>
      <c r="E7" s="1" t="s">
        <v>281</v>
      </c>
      <c r="F7" s="12" t="s">
        <v>305</v>
      </c>
      <c r="G7" s="1" t="s">
        <v>284</v>
      </c>
      <c r="H7" s="4" t="s">
        <v>301</v>
      </c>
    </row>
    <row r="8" spans="2:8" x14ac:dyDescent="0.2">
      <c r="B8" s="9" t="s">
        <v>265</v>
      </c>
      <c r="C8" s="4">
        <v>221284</v>
      </c>
      <c r="D8" s="1" t="str">
        <f>_xlfn.IFNA(_xlfn.TEXTAFTER(LEVEL10[[#This Row],[email]],"@"),"NULL")</f>
        <v>asri.co.id</v>
      </c>
      <c r="E8" s="1" t="s">
        <v>281</v>
      </c>
      <c r="F8" s="12" t="s">
        <v>305</v>
      </c>
      <c r="G8" s="1" t="s">
        <v>284</v>
      </c>
      <c r="H8" s="4" t="s">
        <v>301</v>
      </c>
    </row>
    <row r="9" spans="2:8" x14ac:dyDescent="0.2">
      <c r="B9" s="9" t="s">
        <v>262</v>
      </c>
      <c r="C9" s="4">
        <v>221489</v>
      </c>
      <c r="D9" s="1" t="str">
        <f>_xlfn.IFNA(_xlfn.TEXTAFTER(LEVEL10[[#This Row],[email]],"@"),"NULL")</f>
        <v>asri.co.id</v>
      </c>
      <c r="E9" s="1" t="s">
        <v>281</v>
      </c>
      <c r="F9" s="12" t="s">
        <v>305</v>
      </c>
      <c r="G9" s="1" t="s">
        <v>284</v>
      </c>
      <c r="H9" s="4" t="s">
        <v>301</v>
      </c>
    </row>
    <row r="10" spans="2:8" x14ac:dyDescent="0.2">
      <c r="B10" s="9" t="s">
        <v>266</v>
      </c>
      <c r="C10" s="4">
        <v>231399</v>
      </c>
      <c r="D10" s="1" t="str">
        <f>_xlfn.IFNA(_xlfn.TEXTAFTER(LEVEL10[[#This Row],[email]],"@"),"NULL")</f>
        <v>asri.co.id</v>
      </c>
      <c r="E10" s="1" t="s">
        <v>281</v>
      </c>
      <c r="F10" s="12" t="s">
        <v>305</v>
      </c>
      <c r="G10" s="1" t="s">
        <v>284</v>
      </c>
      <c r="H10" s="4" t="s">
        <v>301</v>
      </c>
    </row>
    <row r="11" spans="2:8" x14ac:dyDescent="0.2">
      <c r="B11" s="9" t="s">
        <v>267</v>
      </c>
      <c r="C11" s="4">
        <v>180426</v>
      </c>
      <c r="D11" s="1" t="str">
        <f>_xlfn.IFNA(_xlfn.TEXTAFTER(LEVEL10[[#This Row],[email]],"@"),"NULL")</f>
        <v>asri.co.id</v>
      </c>
      <c r="E11" s="1" t="s">
        <v>281</v>
      </c>
      <c r="F11" s="12" t="s">
        <v>305</v>
      </c>
      <c r="G11" s="1" t="s">
        <v>284</v>
      </c>
      <c r="H11" s="4" t="s">
        <v>301</v>
      </c>
    </row>
    <row r="12" spans="2:8" x14ac:dyDescent="0.2">
      <c r="B12" s="9" t="s">
        <v>268</v>
      </c>
      <c r="C12" s="4">
        <v>241681</v>
      </c>
      <c r="D12" s="1" t="str">
        <f>_xlfn.IFNA(_xlfn.TEXTAFTER(LEVEL10[[#This Row],[email]],"@"),"NULL")</f>
        <v>asri.co.id</v>
      </c>
      <c r="E12" s="1" t="s">
        <v>281</v>
      </c>
      <c r="F12" s="12" t="s">
        <v>305</v>
      </c>
      <c r="G12" s="1" t="s">
        <v>284</v>
      </c>
      <c r="H12" s="4" t="s">
        <v>301</v>
      </c>
    </row>
    <row r="13" spans="2:8" x14ac:dyDescent="0.2">
      <c r="B13" s="9" t="s">
        <v>269</v>
      </c>
      <c r="C13" s="4">
        <v>232054</v>
      </c>
      <c r="D13" s="1" t="str">
        <f>_xlfn.IFNA(_xlfn.TEXTAFTER(LEVEL10[[#This Row],[email]],"@"),"NULL")</f>
        <v>asri.co.id</v>
      </c>
      <c r="E13" s="1" t="s">
        <v>281</v>
      </c>
      <c r="F13" s="12" t="s">
        <v>305</v>
      </c>
      <c r="G13" s="1" t="s">
        <v>284</v>
      </c>
      <c r="H13" s="4" t="s">
        <v>301</v>
      </c>
    </row>
    <row r="14" spans="2:8" x14ac:dyDescent="0.2">
      <c r="B14" s="9" t="s">
        <v>270</v>
      </c>
      <c r="C14" s="4">
        <v>100822</v>
      </c>
      <c r="D14" s="1" t="str">
        <f>_xlfn.IFNA(_xlfn.TEXTAFTER(LEVEL10[[#This Row],[email]],"@"),"NULL")</f>
        <v>asri.co.id</v>
      </c>
      <c r="E14" s="1" t="s">
        <v>281</v>
      </c>
      <c r="F14" s="12" t="s">
        <v>305</v>
      </c>
      <c r="G14" s="1" t="s">
        <v>284</v>
      </c>
      <c r="H14" s="4" t="s">
        <v>301</v>
      </c>
    </row>
    <row r="15" spans="2:8" x14ac:dyDescent="0.2">
      <c r="B15" s="9" t="s">
        <v>271</v>
      </c>
      <c r="C15" s="4">
        <v>150821</v>
      </c>
      <c r="D15" s="1" t="str">
        <f>_xlfn.IFNA(_xlfn.TEXTAFTER(LEVEL10[[#This Row],[email]],"@"),"NULL")</f>
        <v>asri.co.id</v>
      </c>
      <c r="E15" s="1" t="s">
        <v>281</v>
      </c>
      <c r="F15" s="12" t="s">
        <v>305</v>
      </c>
      <c r="G15" s="1" t="s">
        <v>284</v>
      </c>
      <c r="H15" s="4" t="s">
        <v>301</v>
      </c>
    </row>
    <row r="16" spans="2:8" x14ac:dyDescent="0.2">
      <c r="B16" s="9" t="s">
        <v>272</v>
      </c>
      <c r="C16" s="4">
        <v>241815</v>
      </c>
      <c r="D16" s="1" t="str">
        <f>_xlfn.IFNA(_xlfn.TEXTAFTER(LEVEL10[[#This Row],[email]],"@"),"NULL")</f>
        <v>asri.co.id</v>
      </c>
      <c r="E16" s="1" t="s">
        <v>281</v>
      </c>
      <c r="F16" s="12" t="s">
        <v>305</v>
      </c>
      <c r="G16" s="1" t="s">
        <v>284</v>
      </c>
      <c r="H16" s="4" t="s">
        <v>301</v>
      </c>
    </row>
    <row r="17" spans="2:8" x14ac:dyDescent="0.2">
      <c r="B17" s="9" t="s">
        <v>273</v>
      </c>
      <c r="C17" s="4">
        <v>250528</v>
      </c>
      <c r="D17" s="1" t="str">
        <f>_xlfn.IFNA(_xlfn.TEXTAFTER(LEVEL10[[#This Row],[email]],"@"),"NULL")</f>
        <v>asri.co.id</v>
      </c>
      <c r="E17" s="1" t="s">
        <v>281</v>
      </c>
      <c r="F17" s="12" t="s">
        <v>305</v>
      </c>
      <c r="G17" s="1" t="s">
        <v>284</v>
      </c>
      <c r="H17" s="4" t="s">
        <v>301</v>
      </c>
    </row>
    <row r="18" spans="2:8" x14ac:dyDescent="0.2">
      <c r="B18" s="9" t="s">
        <v>274</v>
      </c>
      <c r="C18" s="4">
        <v>250501</v>
      </c>
      <c r="D18" s="1" t="str">
        <f>_xlfn.IFNA(_xlfn.TEXTAFTER(LEVEL10[[#This Row],[email]],"@"),"NULL")</f>
        <v>asri.co.id</v>
      </c>
      <c r="E18" s="1" t="s">
        <v>281</v>
      </c>
      <c r="F18" s="12" t="s">
        <v>305</v>
      </c>
      <c r="G18" s="1" t="s">
        <v>284</v>
      </c>
      <c r="H18" s="4" t="s">
        <v>301</v>
      </c>
    </row>
    <row r="19" spans="2:8" x14ac:dyDescent="0.2">
      <c r="B19" s="9" t="s">
        <v>275</v>
      </c>
      <c r="C19" s="4">
        <v>240287</v>
      </c>
      <c r="D19" s="1" t="str">
        <f>_xlfn.IFNA(_xlfn.TEXTAFTER(LEVEL10[[#This Row],[email]],"@"),"NULL")</f>
        <v>asri.co.id</v>
      </c>
      <c r="E19" s="1" t="s">
        <v>281</v>
      </c>
      <c r="F19" s="12" t="s">
        <v>305</v>
      </c>
      <c r="G19" s="1" t="s">
        <v>284</v>
      </c>
      <c r="H19" s="4" t="s">
        <v>301</v>
      </c>
    </row>
    <row r="20" spans="2:8" x14ac:dyDescent="0.2">
      <c r="B20" s="9" t="s">
        <v>276</v>
      </c>
      <c r="C20" s="4">
        <v>220909</v>
      </c>
      <c r="D20" s="1" t="str">
        <f>_xlfn.IFNA(_xlfn.TEXTAFTER(LEVEL10[[#This Row],[email]],"@"),"NULL")</f>
        <v>asri.co.id</v>
      </c>
      <c r="E20" s="1" t="s">
        <v>281</v>
      </c>
      <c r="F20" s="12" t="s">
        <v>305</v>
      </c>
      <c r="G20" s="1" t="s">
        <v>284</v>
      </c>
      <c r="H20" s="4" t="s">
        <v>301</v>
      </c>
    </row>
    <row r="21" spans="2:8" x14ac:dyDescent="0.2">
      <c r="B21" s="9" t="s">
        <v>277</v>
      </c>
      <c r="C21" s="4">
        <v>240763</v>
      </c>
      <c r="D21" s="1" t="str">
        <f>_xlfn.IFNA(_xlfn.TEXTAFTER(LEVEL10[[#This Row],[email]],"@"),"NULL")</f>
        <v>asri.co.id</v>
      </c>
      <c r="E21" s="1" t="s">
        <v>281</v>
      </c>
      <c r="F21" s="12" t="s">
        <v>305</v>
      </c>
      <c r="G21" s="1" t="s">
        <v>284</v>
      </c>
      <c r="H21" s="4" t="s">
        <v>301</v>
      </c>
    </row>
    <row r="22" spans="2:8" x14ac:dyDescent="0.2">
      <c r="B22" s="9" t="s">
        <v>324</v>
      </c>
      <c r="C22" s="4">
        <v>999999</v>
      </c>
      <c r="D22" s="1" t="s">
        <v>843</v>
      </c>
      <c r="E22" s="1" t="s">
        <v>844</v>
      </c>
      <c r="F22" s="12" t="s">
        <v>282</v>
      </c>
      <c r="G22" s="1" t="s">
        <v>845</v>
      </c>
      <c r="H22" s="4" t="s">
        <v>846</v>
      </c>
    </row>
  </sheetData>
  <conditionalFormatting sqref="B5:B22">
    <cfRule type="duplicateValues" dxfId="15" priority="2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9AE8-298C-4C17-B893-97BE0F80F010}">
  <sheetPr codeName="Sheet10">
    <tabColor rgb="FF00FF00"/>
  </sheetPr>
  <dimension ref="B3:G21"/>
  <sheetViews>
    <sheetView zoomScale="85" zoomScaleNormal="85" workbookViewId="0">
      <selection activeCell="G9" sqref="G9"/>
    </sheetView>
  </sheetViews>
  <sheetFormatPr baseColWidth="10" defaultColWidth="8.83203125" defaultRowHeight="15" x14ac:dyDescent="0.2"/>
  <cols>
    <col min="1" max="1" width="2.6640625" customWidth="1"/>
    <col min="2" max="2" width="25" style="2" bestFit="1" customWidth="1"/>
    <col min="3" max="3" width="17" bestFit="1" customWidth="1"/>
    <col min="4" max="4" width="15.5" bestFit="1" customWidth="1"/>
    <col min="5" max="5" width="27.1640625" bestFit="1" customWidth="1"/>
    <col min="6" max="7" width="21" bestFit="1" customWidth="1"/>
  </cols>
  <sheetData>
    <row r="3" spans="2:7" x14ac:dyDescent="0.2">
      <c r="C3" s="2"/>
      <c r="D3" s="2"/>
      <c r="E3" s="2"/>
      <c r="F3" s="2"/>
      <c r="G3" s="2"/>
    </row>
    <row r="4" spans="2:7" x14ac:dyDescent="0.2">
      <c r="B4" s="3" t="s">
        <v>665</v>
      </c>
      <c r="C4" s="3" t="s">
        <v>679</v>
      </c>
      <c r="D4" s="3" t="s">
        <v>652</v>
      </c>
      <c r="E4" s="3" t="s">
        <v>848</v>
      </c>
      <c r="F4" s="3" t="s">
        <v>680</v>
      </c>
      <c r="G4" s="3" t="s">
        <v>681</v>
      </c>
    </row>
    <row r="5" spans="2:7" x14ac:dyDescent="0.2">
      <c r="B5" s="8" t="s">
        <v>303</v>
      </c>
      <c r="C5" s="20" t="s">
        <v>304</v>
      </c>
      <c r="D5" s="5">
        <v>101101</v>
      </c>
      <c r="E5" s="5" t="s">
        <v>849</v>
      </c>
      <c r="F5" s="19">
        <v>45941</v>
      </c>
      <c r="G5" s="19">
        <v>45941</v>
      </c>
    </row>
    <row r="6" spans="2:7" x14ac:dyDescent="0.2">
      <c r="B6" s="9" t="s">
        <v>286</v>
      </c>
      <c r="C6" s="21"/>
      <c r="D6" s="4">
        <v>180362</v>
      </c>
      <c r="E6" s="4"/>
      <c r="F6" s="7">
        <v>45941</v>
      </c>
      <c r="G6" s="7">
        <v>45941</v>
      </c>
    </row>
    <row r="7" spans="2:7" x14ac:dyDescent="0.2">
      <c r="B7" s="9" t="s">
        <v>290</v>
      </c>
      <c r="C7" s="21"/>
      <c r="D7" s="4">
        <v>220290</v>
      </c>
      <c r="E7" s="4"/>
      <c r="F7" s="7">
        <v>45941</v>
      </c>
      <c r="G7" s="7">
        <v>45941</v>
      </c>
    </row>
    <row r="8" spans="2:7" x14ac:dyDescent="0.2">
      <c r="B8" s="9" t="s">
        <v>292</v>
      </c>
      <c r="C8" s="21"/>
      <c r="D8" s="4">
        <v>221284</v>
      </c>
      <c r="E8" s="4"/>
      <c r="F8" s="7">
        <v>45941</v>
      </c>
      <c r="G8" s="7">
        <v>45941</v>
      </c>
    </row>
    <row r="9" spans="2:7" x14ac:dyDescent="0.2">
      <c r="B9" s="9" t="s">
        <v>294</v>
      </c>
      <c r="C9" s="21"/>
      <c r="D9" s="4">
        <v>221489</v>
      </c>
      <c r="E9" s="4"/>
      <c r="F9" s="7">
        <v>45941</v>
      </c>
      <c r="G9" s="7">
        <v>45941</v>
      </c>
    </row>
    <row r="10" spans="2:7" x14ac:dyDescent="0.2">
      <c r="B10" s="9" t="s">
        <v>295</v>
      </c>
      <c r="C10" s="21"/>
      <c r="D10" s="4">
        <v>231399</v>
      </c>
      <c r="E10" s="4"/>
      <c r="F10" s="7">
        <v>45941</v>
      </c>
      <c r="G10" s="7">
        <v>45941</v>
      </c>
    </row>
    <row r="11" spans="2:7" x14ac:dyDescent="0.2">
      <c r="B11" s="9" t="s">
        <v>291</v>
      </c>
      <c r="C11" s="21"/>
      <c r="D11" s="4">
        <v>180426</v>
      </c>
      <c r="E11" s="4"/>
      <c r="F11" s="7">
        <v>45941</v>
      </c>
      <c r="G11" s="7">
        <v>45941</v>
      </c>
    </row>
    <row r="12" spans="2:7" x14ac:dyDescent="0.2">
      <c r="B12" s="9" t="s">
        <v>296</v>
      </c>
      <c r="C12" s="21"/>
      <c r="D12" s="4">
        <v>241681</v>
      </c>
      <c r="E12" s="4"/>
      <c r="F12" s="7">
        <v>45941</v>
      </c>
      <c r="G12" s="7">
        <v>45941</v>
      </c>
    </row>
    <row r="13" spans="2:7" x14ac:dyDescent="0.2">
      <c r="B13" s="9" t="s">
        <v>299</v>
      </c>
      <c r="C13" s="21"/>
      <c r="D13" s="4">
        <v>232054</v>
      </c>
      <c r="E13" s="4"/>
      <c r="F13" s="7">
        <v>45941</v>
      </c>
      <c r="G13" s="7">
        <v>45941</v>
      </c>
    </row>
    <row r="14" spans="2:7" x14ac:dyDescent="0.2">
      <c r="B14" s="9" t="s">
        <v>293</v>
      </c>
      <c r="C14" s="21"/>
      <c r="D14" s="4">
        <v>100822</v>
      </c>
      <c r="E14" s="4"/>
      <c r="F14" s="7">
        <v>45941</v>
      </c>
      <c r="G14" s="7">
        <v>45941</v>
      </c>
    </row>
    <row r="15" spans="2:7" x14ac:dyDescent="0.2">
      <c r="B15" s="9" t="s">
        <v>289</v>
      </c>
      <c r="C15" s="21"/>
      <c r="D15" s="4">
        <v>150821</v>
      </c>
      <c r="E15" s="4"/>
      <c r="F15" s="7">
        <v>45941</v>
      </c>
      <c r="G15" s="7">
        <v>45941</v>
      </c>
    </row>
    <row r="16" spans="2:7" x14ac:dyDescent="0.2">
      <c r="B16" s="9" t="s">
        <v>297</v>
      </c>
      <c r="C16" s="21"/>
      <c r="D16" s="4">
        <v>241815</v>
      </c>
      <c r="E16" s="4"/>
      <c r="F16" s="7">
        <v>45941</v>
      </c>
      <c r="G16" s="7">
        <v>45941</v>
      </c>
    </row>
    <row r="17" spans="2:7" x14ac:dyDescent="0.2">
      <c r="B17" s="9" t="s">
        <v>300</v>
      </c>
      <c r="C17" s="21"/>
      <c r="D17" s="4">
        <v>250528</v>
      </c>
      <c r="E17" s="4"/>
      <c r="F17" s="7">
        <v>45941</v>
      </c>
      <c r="G17" s="7">
        <v>45941</v>
      </c>
    </row>
    <row r="18" spans="2:7" x14ac:dyDescent="0.2">
      <c r="B18" s="9" t="s">
        <v>298</v>
      </c>
      <c r="C18" s="21"/>
      <c r="D18" s="4">
        <v>250501</v>
      </c>
      <c r="E18" s="4"/>
      <c r="F18" s="7">
        <v>45941</v>
      </c>
      <c r="G18" s="7">
        <v>45941</v>
      </c>
    </row>
    <row r="19" spans="2:7" x14ac:dyDescent="0.2">
      <c r="B19" s="9" t="s">
        <v>285</v>
      </c>
      <c r="C19" s="21"/>
      <c r="D19" s="4">
        <v>240287</v>
      </c>
      <c r="E19" s="4"/>
      <c r="F19" s="7">
        <v>45941</v>
      </c>
      <c r="G19" s="7">
        <v>45941</v>
      </c>
    </row>
    <row r="20" spans="2:7" x14ac:dyDescent="0.2">
      <c r="B20" s="9" t="s">
        <v>288</v>
      </c>
      <c r="C20" s="21"/>
      <c r="D20" s="4">
        <v>220909</v>
      </c>
      <c r="E20" s="4"/>
      <c r="F20" s="7">
        <v>45941</v>
      </c>
      <c r="G20" s="7">
        <v>45941</v>
      </c>
    </row>
    <row r="21" spans="2:7" x14ac:dyDescent="0.2">
      <c r="B21" s="9" t="s">
        <v>287</v>
      </c>
      <c r="C21" s="21"/>
      <c r="D21" s="4">
        <v>240763</v>
      </c>
      <c r="E21" s="4"/>
      <c r="F21" s="7">
        <v>45941</v>
      </c>
      <c r="G21" s="7">
        <v>45941</v>
      </c>
    </row>
  </sheetData>
  <phoneticPr fontId="3" type="noConversion"/>
  <conditionalFormatting sqref="B5:B21">
    <cfRule type="duplicateValues" dxfId="14" priority="4"/>
  </conditionalFormatting>
  <pageMargins left="0.7" right="0.7" top="0.75" bottom="0.75" header="0.3" footer="0.3"/>
  <pageSetup paperSize="256" orientation="portrait" horizontalDpi="203" verticalDpi="203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511F-DEA9-46E3-AE19-14E0364675DF}">
  <dimension ref="B4:E8"/>
  <sheetViews>
    <sheetView showGridLines="0" zoomScale="85" zoomScaleNormal="85" workbookViewId="0">
      <selection activeCell="B4" sqref="B4"/>
    </sheetView>
  </sheetViews>
  <sheetFormatPr baseColWidth="10" defaultColWidth="8.83203125" defaultRowHeight="15" x14ac:dyDescent="0.2"/>
  <cols>
    <col min="1" max="1" width="2.6640625" customWidth="1"/>
    <col min="2" max="2" width="16.5" bestFit="1" customWidth="1"/>
    <col min="3" max="3" width="14.6640625" bestFit="1" customWidth="1"/>
    <col min="4" max="4" width="19.6640625" bestFit="1" customWidth="1"/>
    <col min="5" max="5" width="17.5" bestFit="1" customWidth="1"/>
  </cols>
  <sheetData>
    <row r="4" spans="2:5" x14ac:dyDescent="0.2">
      <c r="B4" s="3" t="s">
        <v>729</v>
      </c>
      <c r="C4" s="3" t="s">
        <v>731</v>
      </c>
      <c r="D4" s="3" t="s">
        <v>732</v>
      </c>
      <c r="E4" s="3" t="s">
        <v>733</v>
      </c>
    </row>
    <row r="5" spans="2:5" x14ac:dyDescent="0.2">
      <c r="B5" s="5" t="s">
        <v>571</v>
      </c>
      <c r="C5" s="20" t="s">
        <v>434</v>
      </c>
      <c r="D5" s="20" t="s">
        <v>850</v>
      </c>
      <c r="E5" s="38" t="s">
        <v>850</v>
      </c>
    </row>
    <row r="6" spans="2:5" x14ac:dyDescent="0.2">
      <c r="B6" s="4" t="s">
        <v>570</v>
      </c>
      <c r="C6" s="21" t="s">
        <v>574</v>
      </c>
      <c r="D6" s="39" t="s">
        <v>577</v>
      </c>
      <c r="E6" s="39" t="s">
        <v>580</v>
      </c>
    </row>
    <row r="7" spans="2:5" x14ac:dyDescent="0.2">
      <c r="B7" s="4" t="s">
        <v>572</v>
      </c>
      <c r="C7" s="21" t="s">
        <v>575</v>
      </c>
      <c r="D7" s="39" t="s">
        <v>578</v>
      </c>
      <c r="E7" s="39" t="s">
        <v>581</v>
      </c>
    </row>
    <row r="8" spans="2:5" x14ac:dyDescent="0.2">
      <c r="B8" s="4" t="s">
        <v>573</v>
      </c>
      <c r="C8" s="21" t="s">
        <v>576</v>
      </c>
      <c r="D8" s="39" t="s">
        <v>579</v>
      </c>
      <c r="E8" s="39" t="s">
        <v>582</v>
      </c>
    </row>
  </sheetData>
  <phoneticPr fontId="3" type="noConversion"/>
  <conditionalFormatting sqref="B5:C8">
    <cfRule type="duplicateValues" dxfId="13" priority="3"/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7005-42DF-48EC-930C-FA39B92DFA05}">
  <dimension ref="B3:F8"/>
  <sheetViews>
    <sheetView zoomScale="85" zoomScaleNormal="85" workbookViewId="0">
      <selection activeCell="B5" sqref="B5"/>
    </sheetView>
  </sheetViews>
  <sheetFormatPr baseColWidth="10" defaultColWidth="8.83203125" defaultRowHeight="15" x14ac:dyDescent="0.2"/>
  <cols>
    <col min="1" max="1" width="2.6640625" customWidth="1"/>
    <col min="2" max="2" width="22.1640625" bestFit="1" customWidth="1"/>
    <col min="3" max="3" width="19.1640625" bestFit="1" customWidth="1"/>
    <col min="4" max="4" width="19.1640625" customWidth="1"/>
    <col min="5" max="5" width="19.6640625" bestFit="1" customWidth="1"/>
    <col min="6" max="6" width="19.6640625" customWidth="1"/>
  </cols>
  <sheetData>
    <row r="3" spans="2:6" x14ac:dyDescent="0.2">
      <c r="B3" s="29" cm="1">
        <f t="array" ref="B3">MAX(LEN(TASK[id_task]))</f>
        <v>10</v>
      </c>
      <c r="C3" s="29" cm="1">
        <f t="array" ref="C3">MAX(LEN(TASK[id_maintenance2]))</f>
        <v>4</v>
      </c>
      <c r="D3" s="29" cm="1">
        <f t="array" ref="D3">MAX(LEN(TASK[maintenance]))</f>
        <v>10</v>
      </c>
      <c r="E3" s="29" cm="1">
        <f t="array" ref="E3">MAX(LEN(TASK[schedule_task]))</f>
        <v>5</v>
      </c>
      <c r="F3" s="29" cm="1">
        <f t="array" ref="F3">MAX(LEN(TASK[sch_conv]))</f>
        <v>10</v>
      </c>
    </row>
    <row r="4" spans="2:6" x14ac:dyDescent="0.2">
      <c r="B4" s="3" t="s">
        <v>734</v>
      </c>
      <c r="C4" s="3" t="s">
        <v>735</v>
      </c>
      <c r="D4" s="40" t="s">
        <v>731</v>
      </c>
      <c r="E4" s="3" t="s">
        <v>736</v>
      </c>
      <c r="F4" s="3" t="s">
        <v>737</v>
      </c>
    </row>
    <row r="5" spans="2:6" x14ac:dyDescent="0.2">
      <c r="B5" s="5" t="str">
        <f>TASK[[#This Row],[id_maintenance2]]&amp;TEXT(TASK[[#This Row],[schedule_task]],"YYMMDD")</f>
        <v>ME00251012</v>
      </c>
      <c r="C5" s="20" t="s">
        <v>571</v>
      </c>
      <c r="D5" s="38" t="str">
        <f>_xlfn.IFNA(VLOOKUP(TASK[[#This Row],[id_maintenance2]],ME[[id_maintenance]:[characteristic]],2,0),"NA")</f>
        <v>NA</v>
      </c>
      <c r="E5" s="19">
        <v>45942</v>
      </c>
      <c r="F5" s="19" t="str">
        <f>TEXT(TASK[[#This Row],[schedule_task]],"YYYY-MM-DD")</f>
        <v>2025-10-12</v>
      </c>
    </row>
    <row r="6" spans="2:6" x14ac:dyDescent="0.2">
      <c r="B6" s="4" t="str">
        <f>TASK[[#This Row],[id_maintenance2]]&amp;TEXT(TASK[[#This Row],[schedule_task]],"YYMMDD")</f>
        <v>ME01251012</v>
      </c>
      <c r="C6" s="21" t="s">
        <v>570</v>
      </c>
      <c r="D6" s="39" t="str">
        <f>_xlfn.IFNA(VLOOKUP(TASK[[#This Row],[id_maintenance2]],ME[[id_maintenance]:[characteristic]],2,0),"NA")</f>
        <v>PREVENTIVE</v>
      </c>
      <c r="E6" s="7">
        <v>45942</v>
      </c>
      <c r="F6" s="7" t="str">
        <f>TEXT(TASK[[#This Row],[schedule_task]],"YYYY-MM-DD")</f>
        <v>2025-10-12</v>
      </c>
    </row>
    <row r="7" spans="2:6" x14ac:dyDescent="0.2">
      <c r="B7" s="4" t="str">
        <f>TASK[[#This Row],[id_maintenance2]]&amp;TEXT(TASK[[#This Row],[schedule_task]],"YYMMDD")</f>
        <v>ME02251012</v>
      </c>
      <c r="C7" s="21" t="s">
        <v>572</v>
      </c>
      <c r="D7" s="39" t="str">
        <f>_xlfn.IFNA(VLOOKUP(TASK[[#This Row],[id_maintenance2]],ME[[id_maintenance]:[characteristic]],2,0),"NA")</f>
        <v>CORRECTIVE</v>
      </c>
      <c r="E7" s="7">
        <v>45942</v>
      </c>
      <c r="F7" s="7" t="str">
        <f>TEXT(TASK[[#This Row],[schedule_task]],"YYYY-MM-DD")</f>
        <v>2025-10-12</v>
      </c>
    </row>
    <row r="8" spans="2:6" x14ac:dyDescent="0.2">
      <c r="B8" s="4" t="str">
        <f>TASK[[#This Row],[id_maintenance2]]&amp;TEXT(TASK[[#This Row],[schedule_task]],"YYMMDD")</f>
        <v>ME03251012</v>
      </c>
      <c r="C8" s="21" t="s">
        <v>573</v>
      </c>
      <c r="D8" s="39" t="str">
        <f>_xlfn.IFNA(VLOOKUP(TASK[[#This Row],[id_maintenance2]],ME[[id_maintenance]:[characteristic]],2,0),"NA")</f>
        <v>PREDICTIVE</v>
      </c>
      <c r="E8" s="7">
        <v>45942</v>
      </c>
      <c r="F8" s="7" t="str">
        <f>TEXT(TASK[[#This Row],[schedule_task]],"YYYY-MM-DD")</f>
        <v>2025-10-12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9ECC-9A7D-4EB0-9F76-008602F08A68}">
  <dimension ref="B3:G8"/>
  <sheetViews>
    <sheetView zoomScale="85" zoomScaleNormal="85" workbookViewId="0">
      <selection activeCell="G5" sqref="G5"/>
    </sheetView>
  </sheetViews>
  <sheetFormatPr baseColWidth="10" defaultColWidth="8.83203125" defaultRowHeight="15" x14ac:dyDescent="0.2"/>
  <cols>
    <col min="1" max="1" width="2.6640625" customWidth="1"/>
    <col min="2" max="2" width="22.1640625" bestFit="1" customWidth="1"/>
    <col min="3" max="3" width="9.33203125" bestFit="1" customWidth="1"/>
    <col min="4" max="4" width="19.1640625" bestFit="1" customWidth="1"/>
    <col min="5" max="5" width="19.1640625" customWidth="1"/>
    <col min="6" max="6" width="19.6640625" bestFit="1" customWidth="1"/>
    <col min="7" max="7" width="19.6640625" customWidth="1"/>
  </cols>
  <sheetData>
    <row r="3" spans="2:7" x14ac:dyDescent="0.2">
      <c r="B3" s="29" cm="1">
        <f t="array" ref="B3">MAX(LEN(TASK19[id_wh]))</f>
        <v>10</v>
      </c>
      <c r="C3" s="29"/>
      <c r="D3" s="29" cm="1">
        <f t="array" ref="D3">MAX(LEN(TASK19[id_asset]))</f>
        <v>6</v>
      </c>
      <c r="E3" s="29" cm="1">
        <f t="array" ref="E3">MAX(LEN(TASK19[wh_site]))</f>
        <v>3</v>
      </c>
      <c r="F3" s="29" cm="1">
        <f t="array" ref="F3">MAX(LEN(TASK19[status]))</f>
        <v>8</v>
      </c>
      <c r="G3" s="29" cm="1">
        <f t="array" ref="G3">MAX(LEN(TASK19[status_available]))</f>
        <v>1</v>
      </c>
    </row>
    <row r="4" spans="2:7" x14ac:dyDescent="0.2">
      <c r="B4" s="3" t="s">
        <v>738</v>
      </c>
      <c r="C4" s="3" t="s">
        <v>739</v>
      </c>
      <c r="D4" s="3" t="s">
        <v>682</v>
      </c>
      <c r="E4" s="3" t="s">
        <v>740</v>
      </c>
      <c r="F4" s="3" t="s">
        <v>662</v>
      </c>
      <c r="G4" s="64" t="s">
        <v>741</v>
      </c>
    </row>
    <row r="5" spans="2:7" x14ac:dyDescent="0.2">
      <c r="B5" s="4" t="str">
        <f>"WH-"&amp;TASK19[[#This Row],[wh_site]]&amp;"-"&amp;TASK19[[#This Row],[no]]</f>
        <v>WH-O99-001</v>
      </c>
      <c r="C5" s="63" t="s">
        <v>641</v>
      </c>
      <c r="D5" s="21" t="s">
        <v>645</v>
      </c>
      <c r="E5" s="39" t="s">
        <v>255</v>
      </c>
      <c r="F5" s="4" t="s">
        <v>615</v>
      </c>
      <c r="G5" s="4">
        <f>IF(OR(TASK19[[#This Row],[status]]="IN STORE",TASK19[[#This Row],[status]]="IN REPAIR"),1,0)</f>
        <v>1</v>
      </c>
    </row>
    <row r="6" spans="2:7" x14ac:dyDescent="0.2">
      <c r="B6" s="4" t="str">
        <f>"WH-"&amp;TASK19[[#This Row],[wh_site]]&amp;"-"&amp;TASK19[[#This Row],[no]]</f>
        <v>WH-M01-002</v>
      </c>
      <c r="C6" s="63" t="s">
        <v>642</v>
      </c>
      <c r="D6" s="21" t="s">
        <v>647</v>
      </c>
      <c r="E6" s="39" t="s">
        <v>379</v>
      </c>
      <c r="F6" s="4" t="s">
        <v>646</v>
      </c>
      <c r="G6" s="4">
        <f>IF(OR(TASK19[[#This Row],[status]]="IN STORE",TASK19[[#This Row],[status]]="IN REPAIR"),1,0)</f>
        <v>0</v>
      </c>
    </row>
    <row r="7" spans="2:7" x14ac:dyDescent="0.2">
      <c r="B7" s="4" t="str">
        <f>"WH-"&amp;TASK19[[#This Row],[wh_site]]&amp;"-"&amp;TASK19[[#This Row],[no]]</f>
        <v>WH-M02-003</v>
      </c>
      <c r="C7" s="63" t="s">
        <v>643</v>
      </c>
      <c r="D7" s="21" t="s">
        <v>648</v>
      </c>
      <c r="E7" s="39" t="s">
        <v>254</v>
      </c>
      <c r="F7" s="4" t="s">
        <v>612</v>
      </c>
      <c r="G7" s="4">
        <f>IF(OR(TASK19[[#This Row],[status]]="IN STORE",TASK19[[#This Row],[status]]="IN REPAIR"),1,0)</f>
        <v>0</v>
      </c>
    </row>
    <row r="8" spans="2:7" x14ac:dyDescent="0.2">
      <c r="B8" s="4" t="str">
        <f>"WH-"&amp;TASK19[[#This Row],[wh_site]]&amp;"-"&amp;TASK19[[#This Row],[no]]</f>
        <v>WH-M03-004</v>
      </c>
      <c r="C8" s="63" t="s">
        <v>644</v>
      </c>
      <c r="D8" s="21" t="s">
        <v>649</v>
      </c>
      <c r="E8" s="39" t="s">
        <v>256</v>
      </c>
      <c r="F8" s="4" t="s">
        <v>612</v>
      </c>
      <c r="G8" s="4">
        <f>IF(OR(TASK19[[#This Row],[status]]="IN STORE",TASK19[[#This Row],[status]]="IN REPAIR"),1,0)</f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737A-4B8C-4289-BE53-AF00EC614659}">
  <dimension ref="B3:S17"/>
  <sheetViews>
    <sheetView zoomScale="85" zoomScaleNormal="85" workbookViewId="0">
      <selection activeCell="G19" sqref="G19"/>
    </sheetView>
  </sheetViews>
  <sheetFormatPr baseColWidth="10" defaultColWidth="8.83203125" defaultRowHeight="15" x14ac:dyDescent="0.2"/>
  <cols>
    <col min="1" max="1" width="2.6640625" customWidth="1"/>
    <col min="2" max="2" width="17.33203125" bestFit="1" customWidth="1"/>
    <col min="3" max="3" width="16.5" bestFit="1" customWidth="1"/>
    <col min="4" max="4" width="19.1640625" bestFit="1" customWidth="1"/>
    <col min="5" max="5" width="9.1640625" bestFit="1" customWidth="1"/>
    <col min="6" max="6" width="16.5" bestFit="1" customWidth="1"/>
    <col min="7" max="7" width="16.6640625" bestFit="1" customWidth="1"/>
    <col min="8" max="8" width="12.5" bestFit="1" customWidth="1"/>
    <col min="9" max="9" width="12.5" customWidth="1"/>
    <col min="10" max="10" width="17.1640625" bestFit="1" customWidth="1"/>
    <col min="11" max="14" width="17.1640625" customWidth="1"/>
    <col min="15" max="15" width="16.5" bestFit="1" customWidth="1"/>
    <col min="16" max="16" width="9.83203125" bestFit="1" customWidth="1"/>
    <col min="17" max="17" width="23.5" bestFit="1" customWidth="1"/>
    <col min="18" max="19" width="20.33203125" bestFit="1" customWidth="1"/>
  </cols>
  <sheetData>
    <row r="3" spans="2:19" x14ac:dyDescent="0.2">
      <c r="B3" s="33" cm="1">
        <f t="array" ref="B3">MAX(LEN(LEVEL101114[barcode]))</f>
        <v>15</v>
      </c>
      <c r="C3" s="70"/>
      <c r="D3" s="70"/>
      <c r="E3" s="70" cm="1">
        <f t="array" ref="E3">MAX(LEN(LEVEL101114[id_site]))</f>
        <v>3</v>
      </c>
      <c r="F3" s="33" cm="1">
        <f t="array" ref="F3">MAX(LEN(LEVEL101114[no_pr]))</f>
        <v>15</v>
      </c>
      <c r="G3" s="33" cm="1">
        <f t="array" ref="G3">MAX(LEN(LEVEL101114[no_po]))</f>
        <v>16</v>
      </c>
      <c r="H3" s="33" cm="1">
        <f t="array" ref="H3">MAX(LEN(LEVEL101114[date_pr]))</f>
        <v>5</v>
      </c>
      <c r="I3" s="33" cm="1">
        <f t="array" ref="I3">MAX(LEN(LEVEL101114[convdpr]))</f>
        <v>10</v>
      </c>
      <c r="J3" s="33" cm="1">
        <f t="array" ref="J3">MAX(LEN(LEVEL101114[date_po]))</f>
        <v>10</v>
      </c>
      <c r="K3" s="33" cm="1">
        <f t="array" ref="K3">MAX(LEN(LEVEL101114[convpo]))</f>
        <v>10</v>
      </c>
      <c r="L3" s="33" cm="1">
        <f t="array" ref="L3">MAX(LEN(LEVEL101114[date_shipping]))</f>
        <v>10</v>
      </c>
      <c r="M3" s="33" cm="1">
        <f t="array" ref="M3">MAX(LEN(LEVEL101114[convshp]))</f>
        <v>10</v>
      </c>
      <c r="N3" s="33"/>
      <c r="O3" s="33" cm="1">
        <f t="array" ref="O3">MAX(LEN(LEVEL101114[price]))</f>
        <v>8</v>
      </c>
      <c r="P3" s="33" cm="1">
        <f t="array" ref="P3">MAX(LEN(LEVEL101114[qty]))</f>
        <v>1</v>
      </c>
      <c r="Q3" s="33" cm="1">
        <f t="array" ref="Q3">MAX(LEN(LEVEL101114[date_acquisition]))</f>
        <v>10</v>
      </c>
      <c r="R3" s="33" cm="1">
        <f t="array" ref="R3">MAX(LEN(LEVEL101114[convacq]))</f>
        <v>10</v>
      </c>
      <c r="S3" s="33" cm="1">
        <f t="array" ref="S3">MAX(LEN(LEVEL101114[status]))</f>
        <v>15</v>
      </c>
    </row>
    <row r="4" spans="2:19" x14ac:dyDescent="0.2">
      <c r="B4" s="3" t="s">
        <v>685</v>
      </c>
      <c r="C4" s="3" t="s">
        <v>1013</v>
      </c>
      <c r="D4" s="3" t="s">
        <v>1040</v>
      </c>
      <c r="E4" s="3" t="s">
        <v>742</v>
      </c>
      <c r="F4" s="3" t="s">
        <v>743</v>
      </c>
      <c r="G4" s="3" t="s">
        <v>744</v>
      </c>
      <c r="H4" s="3" t="s">
        <v>745</v>
      </c>
      <c r="I4" s="64" t="s">
        <v>746</v>
      </c>
      <c r="J4" s="3" t="s">
        <v>747</v>
      </c>
      <c r="K4" s="64" t="s">
        <v>748</v>
      </c>
      <c r="L4" s="3" t="s">
        <v>749</v>
      </c>
      <c r="M4" s="64" t="s">
        <v>750</v>
      </c>
      <c r="N4" s="3" t="s">
        <v>1041</v>
      </c>
      <c r="O4" s="3" t="s">
        <v>751</v>
      </c>
      <c r="P4" s="3" t="s">
        <v>752</v>
      </c>
      <c r="Q4" s="3" t="s">
        <v>753</v>
      </c>
      <c r="R4" s="64" t="s">
        <v>754</v>
      </c>
      <c r="S4" s="3" t="s">
        <v>662</v>
      </c>
    </row>
    <row r="5" spans="2:19" x14ac:dyDescent="0.2">
      <c r="B5" s="50" t="s">
        <v>620</v>
      </c>
      <c r="C5" s="5" t="s">
        <v>961</v>
      </c>
      <c r="D5" s="5">
        <v>221284</v>
      </c>
      <c r="E5" s="5" t="s">
        <v>255</v>
      </c>
      <c r="F5" s="47" t="s">
        <v>616</v>
      </c>
      <c r="G5" s="47" t="s">
        <v>617</v>
      </c>
      <c r="H5" s="42">
        <v>36526</v>
      </c>
      <c r="I5" s="19" t="str">
        <f>IF(LEVEL101114[[#This Row],[date_pr]]&lt;&gt;"-",TEXT(LEVEL101114[[#This Row],[date_pr]],"YYYY-MM-DD"),"-")</f>
        <v>2000-01-01</v>
      </c>
      <c r="J5" s="42">
        <v>36526</v>
      </c>
      <c r="K5" s="19" t="str">
        <f>IF(LEVEL101114[[#This Row],[date_po]]&lt;&gt;"-",TEXT(LEVEL101114[[#This Row],[date_po]],"YYYY-MM-DD"),"-")</f>
        <v>2000-01-01</v>
      </c>
      <c r="L5" s="42">
        <v>36526</v>
      </c>
      <c r="M5" s="19" t="str">
        <f>IF(LEVEL101114[[#This Row],[date_shipping]]&lt;&gt;"-",TEXT(LEVEL101114[[#This Row],[date_shipping]],"YYYY-MM-DD"),"-")</f>
        <v>2000-01-01</v>
      </c>
      <c r="N5" s="49">
        <v>170747</v>
      </c>
      <c r="O5" s="48">
        <v>15000000</v>
      </c>
      <c r="P5" s="5">
        <v>1</v>
      </c>
      <c r="Q5" s="42" t="s">
        <v>618</v>
      </c>
      <c r="R5" s="19" t="str">
        <f>IF(LEVEL101114[[#This Row],[date_acquisition]]&lt;&gt;"-",TEXT(LEVEL101114[[#This Row],[date_acquisition]],"YYYY-MM-DD"),"-")</f>
        <v>2000-01-01</v>
      </c>
      <c r="S5" s="8" t="str">
        <f>IF(COUNTBLANK(LEVEL101114[[#This Row],[barcode]:[convacq]])&gt;0,"VALIDATE [IN PROGRESS]","VALIDATE [DONE]")</f>
        <v>VALIDATE [DONE]</v>
      </c>
    </row>
    <row r="6" spans="2:19" x14ac:dyDescent="0.2">
      <c r="B6" s="8" t="s">
        <v>555</v>
      </c>
      <c r="C6" s="5" t="s">
        <v>961</v>
      </c>
      <c r="D6" s="5">
        <v>250501</v>
      </c>
      <c r="E6" s="5" t="s">
        <v>255</v>
      </c>
      <c r="F6" s="47" t="s">
        <v>616</v>
      </c>
      <c r="G6" s="20" t="s">
        <v>494</v>
      </c>
      <c r="H6" s="42">
        <v>36526</v>
      </c>
      <c r="I6" s="19" t="str">
        <f>IF(LEVEL101114[[#This Row],[date_pr]]&lt;&gt;"-",TEXT(LEVEL101114[[#This Row],[date_pr]],"YYYY-MM-DD"),"-")</f>
        <v>2000-01-01</v>
      </c>
      <c r="J6" s="42">
        <v>36526</v>
      </c>
      <c r="K6" s="19" t="str">
        <f>IF(LEVEL101114[[#This Row],[date_po]]&lt;&gt;"-",TEXT(LEVEL101114[[#This Row],[date_po]],"YYYY-MM-DD"),"-")</f>
        <v>2000-01-01</v>
      </c>
      <c r="L6" s="19" t="s">
        <v>495</v>
      </c>
      <c r="M6" s="19" t="str">
        <f>IF(LEVEL101114[[#This Row],[date_shipping]]&lt;&gt;"-",TEXT(LEVEL101114[[#This Row],[date_shipping]],"YYYY-MM-DD"),"-")</f>
        <v>2023-12-08</v>
      </c>
      <c r="N6" s="49">
        <v>170747</v>
      </c>
      <c r="O6" s="48">
        <v>15300000</v>
      </c>
      <c r="P6" s="5">
        <v>1</v>
      </c>
      <c r="Q6" s="19">
        <v>45275</v>
      </c>
      <c r="R6" s="19" t="str">
        <f>IF(LEVEL101114[[#This Row],[date_acquisition]]&lt;&gt;"-",TEXT(LEVEL101114[[#This Row],[date_acquisition]],"YYYY-MM-DD"),"-")</f>
        <v>2023-12-15</v>
      </c>
      <c r="S6" s="8" t="str">
        <f>IF(COUNTBLANK(LEVEL101114[[#This Row],[barcode]:[convacq]])&gt;0,"VALIDATE [IN PROGRESS]","VALIDATE [DONE]")</f>
        <v>VALIDATE [DONE]</v>
      </c>
    </row>
    <row r="7" spans="2:19" x14ac:dyDescent="0.2">
      <c r="B7" s="8" t="s">
        <v>474</v>
      </c>
      <c r="C7" s="5" t="s">
        <v>961</v>
      </c>
      <c r="D7" s="5">
        <v>240287</v>
      </c>
      <c r="E7" s="5" t="s">
        <v>255</v>
      </c>
      <c r="F7" s="20" t="s">
        <v>473</v>
      </c>
      <c r="G7" s="20" t="s">
        <v>475</v>
      </c>
      <c r="H7" s="19">
        <v>45301</v>
      </c>
      <c r="I7" s="19" t="str">
        <f>IF(LEVEL101114[[#This Row],[date_pr]]&lt;&gt;"-",TEXT(LEVEL101114[[#This Row],[date_pr]],"YYYY-MM-DD"),"-")</f>
        <v>2024-01-10</v>
      </c>
      <c r="J7" s="19" t="s">
        <v>499</v>
      </c>
      <c r="K7" s="19" t="str">
        <f>IF(LEVEL101114[[#This Row],[date_po]]&lt;&gt;"-",TEXT(LEVEL101114[[#This Row],[date_po]],"YYYY-MM-DD"),"-")</f>
        <v>2024-02-22</v>
      </c>
      <c r="L7" s="19" t="s">
        <v>499</v>
      </c>
      <c r="M7" s="19" t="str">
        <f>IF(LEVEL101114[[#This Row],[date_shipping]]&lt;&gt;"-",TEXT(LEVEL101114[[#This Row],[date_shipping]],"YYYY-MM-DD"),"-")</f>
        <v>2024-02-22</v>
      </c>
      <c r="N7" s="36">
        <v>170747</v>
      </c>
      <c r="O7" s="35">
        <v>24650000</v>
      </c>
      <c r="P7" s="5">
        <v>1</v>
      </c>
      <c r="Q7" s="19">
        <v>45351</v>
      </c>
      <c r="R7" s="19" t="str">
        <f>IF(LEVEL101114[[#This Row],[date_acquisition]]&lt;&gt;"-",TEXT(LEVEL101114[[#This Row],[date_acquisition]],"YYYY-MM-DD"),"-")</f>
        <v>2024-02-29</v>
      </c>
      <c r="S7" s="8" t="str">
        <f>IF(COUNTBLANK(LEVEL101114[[#This Row],[barcode]:[convacq]])&gt;0,"VALIDATE [IN PROGRESS]","VALIDATE [DONE]")</f>
        <v>VALIDATE [DONE]</v>
      </c>
    </row>
    <row r="8" spans="2:19" x14ac:dyDescent="0.2">
      <c r="B8" s="8" t="s">
        <v>423</v>
      </c>
      <c r="C8" s="5" t="s">
        <v>961</v>
      </c>
      <c r="D8" s="5">
        <v>240763</v>
      </c>
      <c r="E8" s="5" t="s">
        <v>255</v>
      </c>
      <c r="F8" s="20" t="s">
        <v>472</v>
      </c>
      <c r="G8" s="20" t="s">
        <v>476</v>
      </c>
      <c r="H8" s="19">
        <v>45387</v>
      </c>
      <c r="I8" s="19" t="str">
        <f>IF(LEVEL101114[[#This Row],[date_pr]]&lt;&gt;"-",TEXT(LEVEL101114[[#This Row],[date_pr]],"YYYY-MM-DD"),"-")</f>
        <v>2024-04-05</v>
      </c>
      <c r="J8" s="19" t="s">
        <v>500</v>
      </c>
      <c r="K8" s="19" t="str">
        <f>IF(LEVEL101114[[#This Row],[date_po]]&lt;&gt;"-",TEXT(LEVEL101114[[#This Row],[date_po]],"YYYY-MM-DD"),"-")</f>
        <v>2024-06-03</v>
      </c>
      <c r="L8" s="19" t="s">
        <v>500</v>
      </c>
      <c r="M8" s="19" t="str">
        <f>IF(LEVEL101114[[#This Row],[date_shipping]]&lt;&gt;"-",TEXT(LEVEL101114[[#This Row],[date_shipping]],"YYYY-MM-DD"),"-")</f>
        <v>2024-06-03</v>
      </c>
      <c r="N8" s="36">
        <v>170747</v>
      </c>
      <c r="O8" s="35">
        <v>24000000</v>
      </c>
      <c r="P8" s="5">
        <v>1</v>
      </c>
      <c r="Q8" s="19">
        <v>45453</v>
      </c>
      <c r="R8" s="19" t="str">
        <f>IF(LEVEL101114[[#This Row],[date_acquisition]]&lt;&gt;"-",TEXT(LEVEL101114[[#This Row],[date_acquisition]],"YYYY-MM-DD"),"-")</f>
        <v>2024-06-10</v>
      </c>
      <c r="S8" s="8" t="str">
        <f>IF(COUNTBLANK(LEVEL101114[[#This Row],[barcode]:[convacq]])&gt;0,"VALIDATE [IN PROGRESS]","VALIDATE [DONE]")</f>
        <v>VALIDATE [DONE]</v>
      </c>
    </row>
    <row r="9" spans="2:19" x14ac:dyDescent="0.2">
      <c r="B9" s="8" t="s">
        <v>477</v>
      </c>
      <c r="C9" s="5" t="s">
        <v>961</v>
      </c>
      <c r="D9" s="5">
        <v>150821</v>
      </c>
      <c r="E9" s="5" t="s">
        <v>255</v>
      </c>
      <c r="F9" s="20" t="s">
        <v>538</v>
      </c>
      <c r="G9" s="20" t="s">
        <v>496</v>
      </c>
      <c r="H9" s="19">
        <v>45236</v>
      </c>
      <c r="I9" s="19" t="str">
        <f>IF(LEVEL101114[[#This Row],[date_pr]]&lt;&gt;"-",TEXT(LEVEL101114[[#This Row],[date_pr]],"YYYY-MM-DD"),"-")</f>
        <v>2023-11-06</v>
      </c>
      <c r="J9" s="19" t="s">
        <v>501</v>
      </c>
      <c r="K9" s="19" t="str">
        <f>IF(LEVEL101114[[#This Row],[date_po]]&lt;&gt;"-",TEXT(LEVEL101114[[#This Row],[date_po]],"YYYY-MM-DD"),"-")</f>
        <v>2024-10-28</v>
      </c>
      <c r="L9" s="19" t="s">
        <v>501</v>
      </c>
      <c r="M9" s="19" t="str">
        <f>IF(LEVEL101114[[#This Row],[date_shipping]]&lt;&gt;"-",TEXT(LEVEL101114[[#This Row],[date_shipping]],"YYYY-MM-DD"),"-")</f>
        <v>2024-10-28</v>
      </c>
      <c r="N9" s="36">
        <v>170747</v>
      </c>
      <c r="O9" s="35">
        <v>16550000</v>
      </c>
      <c r="P9" s="5">
        <v>1</v>
      </c>
      <c r="Q9" s="19">
        <v>45600</v>
      </c>
      <c r="R9" s="19" t="str">
        <f>IF(LEVEL101114[[#This Row],[date_acquisition]]&lt;&gt;"-",TEXT(LEVEL101114[[#This Row],[date_acquisition]],"YYYY-MM-DD"),"-")</f>
        <v>2024-11-04</v>
      </c>
      <c r="S9" s="8" t="str">
        <f>IF(COUNTBLANK(LEVEL101114[[#This Row],[barcode]:[convacq]])&gt;0,"VALIDATE [IN PROGRESS]","VALIDATE [DONE]")</f>
        <v>VALIDATE [DONE]</v>
      </c>
    </row>
    <row r="10" spans="2:19" x14ac:dyDescent="0.2">
      <c r="B10" s="8" t="s">
        <v>478</v>
      </c>
      <c r="C10" s="5" t="s">
        <v>961</v>
      </c>
      <c r="D10" s="5">
        <v>241681</v>
      </c>
      <c r="E10" s="5" t="s">
        <v>255</v>
      </c>
      <c r="F10" s="20" t="s">
        <v>538</v>
      </c>
      <c r="G10" s="20" t="s">
        <v>496</v>
      </c>
      <c r="H10" s="19">
        <v>45236</v>
      </c>
      <c r="I10" s="19" t="str">
        <f>IF(LEVEL101114[[#This Row],[date_pr]]&lt;&gt;"-",TEXT(LEVEL101114[[#This Row],[date_pr]],"YYYY-MM-DD"),"-")</f>
        <v>2023-11-06</v>
      </c>
      <c r="J10" s="19" t="s">
        <v>501</v>
      </c>
      <c r="K10" s="19" t="str">
        <f>IF(LEVEL101114[[#This Row],[date_po]]&lt;&gt;"-",TEXT(LEVEL101114[[#This Row],[date_po]],"YYYY-MM-DD"),"-")</f>
        <v>2024-10-28</v>
      </c>
      <c r="L10" s="19" t="s">
        <v>501</v>
      </c>
      <c r="M10" s="19" t="str">
        <f>IF(LEVEL101114[[#This Row],[date_shipping]]&lt;&gt;"-",TEXT(LEVEL101114[[#This Row],[date_shipping]],"YYYY-MM-DD"),"-")</f>
        <v>2024-10-28</v>
      </c>
      <c r="N10" s="36">
        <v>170747</v>
      </c>
      <c r="O10" s="35">
        <v>16550000</v>
      </c>
      <c r="P10" s="5">
        <v>1</v>
      </c>
      <c r="Q10" s="19">
        <v>45600</v>
      </c>
      <c r="R10" s="19" t="str">
        <f>IF(LEVEL101114[[#This Row],[date_acquisition]]&lt;&gt;"-",TEXT(LEVEL101114[[#This Row],[date_acquisition]],"YYYY-MM-DD"),"-")</f>
        <v>2024-11-04</v>
      </c>
      <c r="S10" s="8" t="str">
        <f>IF(COUNTBLANK(LEVEL101114[[#This Row],[barcode]:[convacq]])&gt;0,"VALIDATE [IN PROGRESS]","VALIDATE [DONE]")</f>
        <v>VALIDATE [DONE]</v>
      </c>
    </row>
    <row r="11" spans="2:19" x14ac:dyDescent="0.2">
      <c r="B11" s="8" t="s">
        <v>479</v>
      </c>
      <c r="C11" s="5" t="s">
        <v>961</v>
      </c>
      <c r="D11" s="5">
        <v>241815</v>
      </c>
      <c r="E11" s="5" t="s">
        <v>255</v>
      </c>
      <c r="F11" s="20" t="s">
        <v>600</v>
      </c>
      <c r="G11" s="20" t="s">
        <v>497</v>
      </c>
      <c r="H11" s="19">
        <v>45568</v>
      </c>
      <c r="I11" s="19" t="str">
        <f>IF(LEVEL101114[[#This Row],[date_pr]]&lt;&gt;"-",TEXT(LEVEL101114[[#This Row],[date_pr]],"YYYY-MM-DD"),"-")</f>
        <v>2024-10-03</v>
      </c>
      <c r="J11" s="42">
        <v>45598</v>
      </c>
      <c r="K11" s="19" t="str">
        <f>IF(LEVEL101114[[#This Row],[date_po]]&lt;&gt;"-",TEXT(LEVEL101114[[#This Row],[date_po]],"YYYY-MM-DD"),"-")</f>
        <v>2024-11-02</v>
      </c>
      <c r="L11" s="19" t="s">
        <v>502</v>
      </c>
      <c r="M11" s="19" t="str">
        <f>IF(LEVEL101114[[#This Row],[date_shipping]]&lt;&gt;"-",TEXT(LEVEL101114[[#This Row],[date_shipping]],"YYYY-MM-DD"),"-")</f>
        <v>2024-11-21</v>
      </c>
      <c r="N11" s="36">
        <v>170747</v>
      </c>
      <c r="O11" s="35">
        <v>16550000</v>
      </c>
      <c r="P11" s="5">
        <v>1</v>
      </c>
      <c r="Q11" s="19">
        <v>45619</v>
      </c>
      <c r="R11" s="19" t="str">
        <f>IF(LEVEL101114[[#This Row],[date_acquisition]]&lt;&gt;"-",TEXT(LEVEL101114[[#This Row],[date_acquisition]],"YYYY-MM-DD"),"-")</f>
        <v>2024-11-23</v>
      </c>
      <c r="S11" s="8" t="str">
        <f>IF(COUNTBLANK(LEVEL101114[[#This Row],[barcode]:[convacq]])&gt;0,"VALIDATE [IN PROGRESS]","VALIDATE [DONE]")</f>
        <v>VALIDATE [DONE]</v>
      </c>
    </row>
    <row r="12" spans="2:19" x14ac:dyDescent="0.2">
      <c r="B12" s="8" t="s">
        <v>480</v>
      </c>
      <c r="C12" s="5" t="s">
        <v>961</v>
      </c>
      <c r="D12" s="5">
        <v>180362</v>
      </c>
      <c r="E12" s="5" t="s">
        <v>255</v>
      </c>
      <c r="F12" s="20" t="s">
        <v>599</v>
      </c>
      <c r="G12" s="20" t="s">
        <v>471</v>
      </c>
      <c r="H12" s="19">
        <v>45955</v>
      </c>
      <c r="I12" s="19" t="str">
        <f>IF(LEVEL101114[[#This Row],[date_pr]]&lt;&gt;"-",TEXT(LEVEL101114[[#This Row],[date_pr]],"YYYY-MM-DD"),"-")</f>
        <v>2025-10-25</v>
      </c>
      <c r="J12" s="42">
        <v>45985</v>
      </c>
      <c r="K12" s="19" t="str">
        <f>IF(LEVEL101114[[#This Row],[date_po]]&lt;&gt;"-",TEXT(LEVEL101114[[#This Row],[date_po]],"YYYY-MM-DD"),"-")</f>
        <v>2025-11-24</v>
      </c>
      <c r="L12" s="19" t="s">
        <v>503</v>
      </c>
      <c r="M12" s="19" t="str">
        <f>IF(LEVEL101114[[#This Row],[date_shipping]]&lt;&gt;"-",TEXT(LEVEL101114[[#This Row],[date_shipping]],"YYYY-MM-DD"),"-")</f>
        <v>2024-12-02</v>
      </c>
      <c r="N12" s="36">
        <v>170747</v>
      </c>
      <c r="O12" s="35">
        <v>16550000</v>
      </c>
      <c r="P12" s="5">
        <v>1</v>
      </c>
      <c r="Q12" s="19">
        <v>45630</v>
      </c>
      <c r="R12" s="19" t="str">
        <f>IF(LEVEL101114[[#This Row],[date_acquisition]]&lt;&gt;"-",TEXT(LEVEL101114[[#This Row],[date_acquisition]],"YYYY-MM-DD"),"-")</f>
        <v>2024-12-04</v>
      </c>
      <c r="S12" s="8" t="str">
        <f>IF(COUNTBLANK(LEVEL101114[[#This Row],[barcode]:[convacq]])&gt;0,"VALIDATE [IN PROGRESS]","VALIDATE [DONE]")</f>
        <v>VALIDATE [DONE]</v>
      </c>
    </row>
    <row r="13" spans="2:19" x14ac:dyDescent="0.2">
      <c r="B13" s="8" t="s">
        <v>481</v>
      </c>
      <c r="C13" s="5" t="s">
        <v>961</v>
      </c>
      <c r="D13" s="5">
        <v>232054</v>
      </c>
      <c r="E13" s="5" t="s">
        <v>255</v>
      </c>
      <c r="F13" s="20" t="s">
        <v>599</v>
      </c>
      <c r="G13" s="20" t="s">
        <v>471</v>
      </c>
      <c r="H13" s="19">
        <v>45955</v>
      </c>
      <c r="I13" s="19" t="str">
        <f>IF(LEVEL101114[[#This Row],[date_pr]]&lt;&gt;"-",TEXT(LEVEL101114[[#This Row],[date_pr]],"YYYY-MM-DD"),"-")</f>
        <v>2025-10-25</v>
      </c>
      <c r="J13" s="42">
        <v>45985</v>
      </c>
      <c r="K13" s="19" t="str">
        <f>IF(LEVEL101114[[#This Row],[date_po]]&lt;&gt;"-",TEXT(LEVEL101114[[#This Row],[date_po]],"YYYY-MM-DD"),"-")</f>
        <v>2025-11-24</v>
      </c>
      <c r="L13" s="19" t="s">
        <v>503</v>
      </c>
      <c r="M13" s="19" t="str">
        <f>IF(LEVEL101114[[#This Row],[date_shipping]]&lt;&gt;"-",TEXT(LEVEL101114[[#This Row],[date_shipping]],"YYYY-MM-DD"),"-")</f>
        <v>2024-12-02</v>
      </c>
      <c r="N13" s="36">
        <v>170747</v>
      </c>
      <c r="O13" s="35">
        <v>16550000</v>
      </c>
      <c r="P13" s="5">
        <v>1</v>
      </c>
      <c r="Q13" s="19">
        <v>45630</v>
      </c>
      <c r="R13" s="19" t="str">
        <f>IF(LEVEL101114[[#This Row],[date_acquisition]]&lt;&gt;"-",TEXT(LEVEL101114[[#This Row],[date_acquisition]],"YYYY-MM-DD"),"-")</f>
        <v>2024-12-04</v>
      </c>
      <c r="S13" s="8" t="str">
        <f>IF(COUNTBLANK(LEVEL101114[[#This Row],[barcode]:[convacq]])&gt;0,"VALIDATE [IN PROGRESS]","VALIDATE [DONE]")</f>
        <v>VALIDATE [DONE]</v>
      </c>
    </row>
    <row r="14" spans="2:19" x14ac:dyDescent="0.2">
      <c r="B14" s="8" t="s">
        <v>470</v>
      </c>
      <c r="C14" s="5" t="s">
        <v>961</v>
      </c>
      <c r="D14" s="5">
        <v>221489</v>
      </c>
      <c r="E14" s="5" t="s">
        <v>255</v>
      </c>
      <c r="F14" s="20" t="s">
        <v>599</v>
      </c>
      <c r="G14" s="20" t="s">
        <v>471</v>
      </c>
      <c r="H14" s="19">
        <v>45955</v>
      </c>
      <c r="I14" s="19" t="str">
        <f>IF(LEVEL101114[[#This Row],[date_pr]]&lt;&gt;"-",TEXT(LEVEL101114[[#This Row],[date_pr]],"YYYY-MM-DD"),"-")</f>
        <v>2025-10-25</v>
      </c>
      <c r="J14" s="42">
        <v>45985</v>
      </c>
      <c r="K14" s="19" t="str">
        <f>IF(LEVEL101114[[#This Row],[date_po]]&lt;&gt;"-",TEXT(LEVEL101114[[#This Row],[date_po]],"YYYY-MM-DD"),"-")</f>
        <v>2025-11-24</v>
      </c>
      <c r="L14" s="19" t="s">
        <v>503</v>
      </c>
      <c r="M14" s="19" t="str">
        <f>IF(LEVEL101114[[#This Row],[date_shipping]]&lt;&gt;"-",TEXT(LEVEL101114[[#This Row],[date_shipping]],"YYYY-MM-DD"),"-")</f>
        <v>2024-12-02</v>
      </c>
      <c r="N14" s="36">
        <v>170747</v>
      </c>
      <c r="O14" s="35">
        <v>16550000</v>
      </c>
      <c r="P14" s="5">
        <v>1</v>
      </c>
      <c r="Q14" s="19">
        <v>45630</v>
      </c>
      <c r="R14" s="19" t="str">
        <f>IF(LEVEL101114[[#This Row],[date_acquisition]]&lt;&gt;"-",TEXT(LEVEL101114[[#This Row],[date_acquisition]],"YYYY-MM-DD"),"-")</f>
        <v>2024-12-04</v>
      </c>
      <c r="S14" s="8" t="str">
        <f>IF(COUNTBLANK(LEVEL101114[[#This Row],[barcode]:[convacq]])&gt;0,"VALIDATE [IN PROGRESS]","VALIDATE [DONE]")</f>
        <v>VALIDATE [DONE]</v>
      </c>
    </row>
    <row r="15" spans="2:19" x14ac:dyDescent="0.2">
      <c r="B15" s="8" t="s">
        <v>482</v>
      </c>
      <c r="C15" s="5" t="s">
        <v>961</v>
      </c>
      <c r="D15" s="5">
        <v>231399</v>
      </c>
      <c r="E15" s="5" t="s">
        <v>255</v>
      </c>
      <c r="F15" s="47" t="s">
        <v>616</v>
      </c>
      <c r="G15" s="47" t="s">
        <v>498</v>
      </c>
      <c r="H15" s="42">
        <v>36526</v>
      </c>
      <c r="I15" s="19" t="str">
        <f>IF(LEVEL101114[[#This Row],[date_pr]]&lt;&gt;"-",TEXT(LEVEL101114[[#This Row],[date_pr]],"YYYY-MM-DD"),"-")</f>
        <v>2000-01-01</v>
      </c>
      <c r="J15" s="42">
        <v>36526</v>
      </c>
      <c r="K15" s="19" t="str">
        <f>IF(LEVEL101114[[#This Row],[date_po]]&lt;&gt;"-",TEXT(LEVEL101114[[#This Row],[date_po]],"YYYY-MM-DD"),"-")</f>
        <v>2000-01-01</v>
      </c>
      <c r="L15" s="19" t="s">
        <v>504</v>
      </c>
      <c r="M15" s="19" t="str">
        <f>IF(LEVEL101114[[#This Row],[date_shipping]]&lt;&gt;"-",TEXT(LEVEL101114[[#This Row],[date_shipping]],"YYYY-MM-DD"),"-")</f>
        <v>2024-12-09</v>
      </c>
      <c r="N15" s="49">
        <v>170747</v>
      </c>
      <c r="O15" s="48">
        <v>15000000</v>
      </c>
      <c r="P15" s="5">
        <v>1</v>
      </c>
      <c r="Q15" s="42" t="s">
        <v>618</v>
      </c>
      <c r="R15" s="19" t="str">
        <f>IF(LEVEL101114[[#This Row],[date_acquisition]]&lt;&gt;"-",TEXT(LEVEL101114[[#This Row],[date_acquisition]],"YYYY-MM-DD"),"-")</f>
        <v>2000-01-01</v>
      </c>
      <c r="S15" s="8" t="str">
        <f>IF(COUNTBLANK(LEVEL101114[[#This Row],[barcode]:[convacq]])&gt;0,"VALIDATE [IN PROGRESS]","VALIDATE [DONE]")</f>
        <v>VALIDATE [DONE]</v>
      </c>
    </row>
    <row r="16" spans="2:19" x14ac:dyDescent="0.2">
      <c r="B16" s="50" t="s">
        <v>619</v>
      </c>
      <c r="C16" s="5" t="s">
        <v>961</v>
      </c>
      <c r="D16" s="5">
        <v>220909</v>
      </c>
      <c r="E16" s="5" t="s">
        <v>255</v>
      </c>
      <c r="F16" s="47" t="s">
        <v>616</v>
      </c>
      <c r="G16" s="47" t="s">
        <v>617</v>
      </c>
      <c r="H16" s="42">
        <v>36526</v>
      </c>
      <c r="I16" s="19" t="str">
        <f>IF(LEVEL101114[[#This Row],[date_pr]]&lt;&gt;"-",TEXT(LEVEL101114[[#This Row],[date_pr]],"YYYY-MM-DD"),"-")</f>
        <v>2000-01-01</v>
      </c>
      <c r="J16" s="42">
        <v>36526</v>
      </c>
      <c r="K16" s="19" t="str">
        <f>IF(LEVEL101114[[#This Row],[date_po]]&lt;&gt;"-",TEXT(LEVEL101114[[#This Row],[date_po]],"YYYY-MM-DD"),"-")</f>
        <v>2000-01-01</v>
      </c>
      <c r="L16" s="42">
        <v>36526</v>
      </c>
      <c r="M16" s="19" t="str">
        <f>IF(LEVEL101114[[#This Row],[date_shipping]]&lt;&gt;"-",TEXT(LEVEL101114[[#This Row],[date_shipping]],"YYYY-MM-DD"),"-")</f>
        <v>2000-01-01</v>
      </c>
      <c r="N16" s="49">
        <v>170747</v>
      </c>
      <c r="O16" s="48">
        <v>15000000</v>
      </c>
      <c r="P16" s="5">
        <v>1</v>
      </c>
      <c r="Q16" s="42" t="s">
        <v>618</v>
      </c>
      <c r="R16" s="19" t="str">
        <f>IF(LEVEL101114[[#This Row],[date_acquisition]]&lt;&gt;"-",TEXT(LEVEL101114[[#This Row],[date_acquisition]],"YYYY-MM-DD"),"-")</f>
        <v>2000-01-01</v>
      </c>
      <c r="S16" s="8" t="str">
        <f>IF(COUNTBLANK(LEVEL101114[[#This Row],[barcode]:[convacq]])&gt;0,"VALIDATE [IN PROGRESS]","VALIDATE [DONE]")</f>
        <v>VALIDATE [DONE]</v>
      </c>
    </row>
    <row r="17" spans="2:19" x14ac:dyDescent="0.2">
      <c r="B17" s="8" t="s">
        <v>607</v>
      </c>
      <c r="C17" s="5" t="s">
        <v>961</v>
      </c>
      <c r="D17" s="5">
        <v>999999</v>
      </c>
      <c r="E17" s="5" t="s">
        <v>254</v>
      </c>
      <c r="F17" s="47" t="s">
        <v>616</v>
      </c>
      <c r="G17" s="47" t="s">
        <v>617</v>
      </c>
      <c r="H17" s="42">
        <v>36526</v>
      </c>
      <c r="I17" s="19" t="str">
        <f>IF(LEVEL101114[[#This Row],[date_pr]]&lt;&gt;"-",TEXT(LEVEL101114[[#This Row],[date_pr]],"YYYY-MM-DD"),"-")</f>
        <v>2000-01-01</v>
      </c>
      <c r="J17" s="42">
        <v>36526</v>
      </c>
      <c r="K17" s="19" t="str">
        <f>IF(LEVEL101114[[#This Row],[date_po]]&lt;&gt;"-",TEXT(LEVEL101114[[#This Row],[date_po]],"YYYY-MM-DD"),"-")</f>
        <v>2000-01-01</v>
      </c>
      <c r="L17" s="42">
        <v>36526</v>
      </c>
      <c r="M17" s="19" t="str">
        <f>IF(LEVEL101114[[#This Row],[date_shipping]]&lt;&gt;"-",TEXT(LEVEL101114[[#This Row],[date_shipping]],"YYYY-MM-DD"),"-")</f>
        <v>2000-01-01</v>
      </c>
      <c r="N17" s="49">
        <v>170747</v>
      </c>
      <c r="O17" s="48">
        <v>15000000</v>
      </c>
      <c r="P17" s="5">
        <v>1</v>
      </c>
      <c r="Q17" s="42" t="s">
        <v>618</v>
      </c>
      <c r="R17" s="19" t="str">
        <f>IF(LEVEL101114[[#This Row],[date_acquisition]]&lt;&gt;"-",TEXT(LEVEL101114[[#This Row],[date_acquisition]],"YYYY-MM-DD"),"-")</f>
        <v>2000-01-01</v>
      </c>
      <c r="S17" s="8" t="str">
        <f>IF(COUNTBLANK(LEVEL101114[[#This Row],[barcode]:[convacq]])&gt;0,"VALIDATE [IN PROGRESS]","VALIDATE [DONE]")</f>
        <v>VALIDATE [DONE]</v>
      </c>
    </row>
  </sheetData>
  <phoneticPr fontId="3" type="noConversion"/>
  <pageMargins left="0.7" right="0.7" top="0.75" bottom="0.75" header="0.3" footer="0.3"/>
  <pageSetup paperSize="256" orientation="portrait" horizontalDpi="203" verticalDpi="203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0A26-ABC7-4EFB-9D03-A455A047EEFE}">
  <sheetPr>
    <tabColor rgb="FF00FF00"/>
  </sheetPr>
  <dimension ref="B4:C12"/>
  <sheetViews>
    <sheetView zoomScale="85" zoomScaleNormal="85" workbookViewId="0">
      <selection activeCell="B4" sqref="B4"/>
    </sheetView>
  </sheetViews>
  <sheetFormatPr baseColWidth="10" defaultColWidth="8.83203125" defaultRowHeight="15" x14ac:dyDescent="0.2"/>
  <cols>
    <col min="1" max="1" width="2.6640625" customWidth="1"/>
    <col min="2" max="2" width="15.5" bestFit="1" customWidth="1"/>
    <col min="3" max="3" width="26.83203125" bestFit="1" customWidth="1"/>
  </cols>
  <sheetData>
    <row r="4" spans="2:3" x14ac:dyDescent="0.2">
      <c r="B4" s="3" t="s">
        <v>1023</v>
      </c>
      <c r="C4" s="3" t="s">
        <v>686</v>
      </c>
    </row>
    <row r="5" spans="2:3" x14ac:dyDescent="0.2">
      <c r="B5" s="5" t="s">
        <v>1015</v>
      </c>
      <c r="C5" s="20" t="s">
        <v>853</v>
      </c>
    </row>
    <row r="6" spans="2:3" x14ac:dyDescent="0.2">
      <c r="B6" s="4" t="s">
        <v>1016</v>
      </c>
      <c r="C6" s="21" t="s">
        <v>960</v>
      </c>
    </row>
    <row r="7" spans="2:3" x14ac:dyDescent="0.2">
      <c r="B7" s="4" t="s">
        <v>1017</v>
      </c>
      <c r="C7" s="21" t="s">
        <v>954</v>
      </c>
    </row>
    <row r="8" spans="2:3" x14ac:dyDescent="0.2">
      <c r="B8" s="4" t="s">
        <v>1018</v>
      </c>
      <c r="C8" s="21" t="s">
        <v>955</v>
      </c>
    </row>
    <row r="9" spans="2:3" x14ac:dyDescent="0.2">
      <c r="B9" s="4" t="s">
        <v>1019</v>
      </c>
      <c r="C9" s="21" t="s">
        <v>957</v>
      </c>
    </row>
    <row r="10" spans="2:3" x14ac:dyDescent="0.2">
      <c r="B10" s="4" t="s">
        <v>1020</v>
      </c>
      <c r="C10" s="21" t="s">
        <v>958</v>
      </c>
    </row>
    <row r="11" spans="2:3" x14ac:dyDescent="0.2">
      <c r="B11" s="4" t="s">
        <v>1021</v>
      </c>
      <c r="C11" s="21" t="s">
        <v>956</v>
      </c>
    </row>
    <row r="12" spans="2:3" x14ac:dyDescent="0.2">
      <c r="B12" s="4" t="s">
        <v>1022</v>
      </c>
      <c r="C12" s="21" t="s">
        <v>959</v>
      </c>
    </row>
  </sheetData>
  <conditionalFormatting sqref="B5:C12">
    <cfRule type="duplicateValues" dxfId="12" priority="5"/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AEEE-76C0-4ED2-A3FA-0F506F69B929}">
  <sheetPr>
    <tabColor rgb="FF00FF00"/>
  </sheetPr>
  <dimension ref="B4:G56"/>
  <sheetViews>
    <sheetView zoomScale="85" zoomScaleNormal="85" workbookViewId="0">
      <selection activeCell="E9" sqref="E9"/>
    </sheetView>
  </sheetViews>
  <sheetFormatPr baseColWidth="10" defaultColWidth="8.83203125" defaultRowHeight="15" x14ac:dyDescent="0.2"/>
  <cols>
    <col min="1" max="1" width="2.6640625" customWidth="1"/>
    <col min="2" max="2" width="15.5" bestFit="1" customWidth="1"/>
    <col min="3" max="3" width="26.83203125" bestFit="1" customWidth="1"/>
    <col min="4" max="4" width="11.5" bestFit="1" customWidth="1"/>
    <col min="5" max="5" width="64.6640625" bestFit="1" customWidth="1"/>
    <col min="6" max="6" width="36.33203125" bestFit="1" customWidth="1"/>
    <col min="7" max="7" width="11.5" bestFit="1" customWidth="1"/>
  </cols>
  <sheetData>
    <row r="4" spans="2:7" x14ac:dyDescent="0.2">
      <c r="B4" s="3" t="s">
        <v>1013</v>
      </c>
      <c r="C4" s="3" t="s">
        <v>1014</v>
      </c>
      <c r="D4" s="3" t="s">
        <v>1023</v>
      </c>
      <c r="E4" s="3" t="s">
        <v>686</v>
      </c>
      <c r="F4" s="3" t="s">
        <v>861</v>
      </c>
      <c r="G4" s="3" t="s">
        <v>862</v>
      </c>
    </row>
    <row r="5" spans="2:7" x14ac:dyDescent="0.2">
      <c r="B5" s="5" t="s">
        <v>961</v>
      </c>
      <c r="C5" s="20" t="s">
        <v>424</v>
      </c>
      <c r="D5" s="68" t="str">
        <f>INDEX(CAT_ASSETS[id_cat], MATCH(CAT_DEVICE[[#This Row],[category]],CAT_ASSETS[category],0))</f>
        <v>COMPD</v>
      </c>
      <c r="E5" s="20" t="s">
        <v>853</v>
      </c>
      <c r="F5" s="1" t="s">
        <v>863</v>
      </c>
      <c r="G5" s="68" t="s">
        <v>868</v>
      </c>
    </row>
    <row r="6" spans="2:7" x14ac:dyDescent="0.2">
      <c r="B6" s="4" t="s">
        <v>962</v>
      </c>
      <c r="C6" s="21" t="s">
        <v>851</v>
      </c>
      <c r="D6" s="68" t="str">
        <f>INDEX(CAT_ASSETS[id_cat], MATCH(CAT_DEVICE[[#This Row],[category]],CAT_ASSETS[category],0))</f>
        <v>COMPD</v>
      </c>
      <c r="E6" s="21" t="s">
        <v>853</v>
      </c>
      <c r="F6" s="1" t="s">
        <v>863</v>
      </c>
      <c r="G6" s="68" t="s">
        <v>868</v>
      </c>
    </row>
    <row r="7" spans="2:7" x14ac:dyDescent="0.2">
      <c r="B7" s="4" t="s">
        <v>963</v>
      </c>
      <c r="C7" s="21" t="s">
        <v>556</v>
      </c>
      <c r="D7" s="68" t="str">
        <f>INDEX(CAT_ASSETS[id_cat], MATCH(CAT_DEVICE[[#This Row],[category]],CAT_ASSETS[category],0))</f>
        <v>COMPD</v>
      </c>
      <c r="E7" s="21" t="s">
        <v>853</v>
      </c>
      <c r="F7" s="1" t="s">
        <v>864</v>
      </c>
      <c r="G7" s="68" t="s">
        <v>867</v>
      </c>
    </row>
    <row r="8" spans="2:7" x14ac:dyDescent="0.2">
      <c r="B8" s="4" t="s">
        <v>964</v>
      </c>
      <c r="C8" s="21" t="s">
        <v>852</v>
      </c>
      <c r="D8" s="68" t="str">
        <f>INDEX(CAT_ASSETS[id_cat], MATCH(CAT_DEVICE[[#This Row],[category]],CAT_ASSETS[category],0))</f>
        <v>COMPD</v>
      </c>
      <c r="E8" s="21" t="s">
        <v>853</v>
      </c>
      <c r="F8" s="1" t="s">
        <v>864</v>
      </c>
      <c r="G8" s="68" t="s">
        <v>867</v>
      </c>
    </row>
    <row r="9" spans="2:7" x14ac:dyDescent="0.2">
      <c r="B9" s="4" t="s">
        <v>965</v>
      </c>
      <c r="C9" s="21" t="s">
        <v>854</v>
      </c>
      <c r="D9" s="68" t="str">
        <f>INDEX(CAT_ASSETS[id_cat], MATCH(CAT_DEVICE[[#This Row],[category]],CAT_ASSETS[category],0))</f>
        <v>COMPD</v>
      </c>
      <c r="E9" s="21" t="s">
        <v>853</v>
      </c>
      <c r="F9" s="1" t="s">
        <v>865</v>
      </c>
      <c r="G9" s="68" t="s">
        <v>866</v>
      </c>
    </row>
    <row r="10" spans="2:7" x14ac:dyDescent="0.2">
      <c r="B10" s="4" t="s">
        <v>966</v>
      </c>
      <c r="C10" s="21" t="s">
        <v>855</v>
      </c>
      <c r="D10" s="68" t="str">
        <f>INDEX(CAT_ASSETS[id_cat], MATCH(CAT_DEVICE[[#This Row],[category]],CAT_ASSETS[category],0))</f>
        <v>COMPD</v>
      </c>
      <c r="E10" s="21" t="s">
        <v>853</v>
      </c>
      <c r="F10" s="1" t="s">
        <v>869</v>
      </c>
      <c r="G10" s="68" t="s">
        <v>870</v>
      </c>
    </row>
    <row r="11" spans="2:7" x14ac:dyDescent="0.2">
      <c r="B11" s="4" t="s">
        <v>967</v>
      </c>
      <c r="C11" s="21" t="s">
        <v>856</v>
      </c>
      <c r="D11" s="68" t="str">
        <f>INDEX(CAT_ASSETS[id_cat], MATCH(CAT_DEVICE[[#This Row],[category]],CAT_ASSETS[category],0))</f>
        <v>COMPD</v>
      </c>
      <c r="E11" s="21" t="s">
        <v>853</v>
      </c>
      <c r="F11" s="1" t="s">
        <v>871</v>
      </c>
      <c r="G11" s="68" t="s">
        <v>872</v>
      </c>
    </row>
    <row r="12" spans="2:7" x14ac:dyDescent="0.2">
      <c r="B12" s="4" t="s">
        <v>968</v>
      </c>
      <c r="C12" s="21" t="s">
        <v>857</v>
      </c>
      <c r="D12" s="68" t="str">
        <f>INDEX(CAT_ASSETS[id_cat], MATCH(CAT_DEVICE[[#This Row],[category]],CAT_ASSETS[category],0))</f>
        <v>COMPD</v>
      </c>
      <c r="E12" s="21" t="s">
        <v>853</v>
      </c>
      <c r="F12" s="1" t="s">
        <v>871</v>
      </c>
      <c r="G12" s="68" t="s">
        <v>872</v>
      </c>
    </row>
    <row r="13" spans="2:7" x14ac:dyDescent="0.2">
      <c r="B13" s="4" t="s">
        <v>969</v>
      </c>
      <c r="C13" s="21" t="s">
        <v>858</v>
      </c>
      <c r="D13" s="68" t="str">
        <f>INDEX(CAT_ASSETS[id_cat], MATCH(CAT_DEVICE[[#This Row],[category]],CAT_ASSETS[category],0))</f>
        <v>COMPD</v>
      </c>
      <c r="E13" s="21" t="s">
        <v>853</v>
      </c>
      <c r="F13" s="1" t="s">
        <v>873</v>
      </c>
      <c r="G13" s="68" t="s">
        <v>874</v>
      </c>
    </row>
    <row r="14" spans="2:7" x14ac:dyDescent="0.2">
      <c r="B14" s="4" t="s">
        <v>970</v>
      </c>
      <c r="C14" s="21" t="s">
        <v>859</v>
      </c>
      <c r="D14" s="68" t="str">
        <f>INDEX(CAT_ASSETS[id_cat], MATCH(CAT_DEVICE[[#This Row],[category]],CAT_ASSETS[category],0))</f>
        <v>COMPD</v>
      </c>
      <c r="E14" s="21" t="s">
        <v>853</v>
      </c>
      <c r="F14" s="1" t="s">
        <v>875</v>
      </c>
      <c r="G14" s="68" t="s">
        <v>875</v>
      </c>
    </row>
    <row r="15" spans="2:7" x14ac:dyDescent="0.2">
      <c r="B15" s="4" t="s">
        <v>971</v>
      </c>
      <c r="C15" s="21" t="s">
        <v>860</v>
      </c>
      <c r="D15" s="68" t="str">
        <f>INDEX(CAT_ASSETS[id_cat], MATCH(CAT_DEVICE[[#This Row],[category]],CAT_ASSETS[category],0))</f>
        <v>COMPD</v>
      </c>
      <c r="E15" s="21" t="s">
        <v>853</v>
      </c>
      <c r="F15" s="1" t="s">
        <v>875</v>
      </c>
      <c r="G15" s="68" t="s">
        <v>875</v>
      </c>
    </row>
    <row r="16" spans="2:7" x14ac:dyDescent="0.2">
      <c r="B16" s="4" t="s">
        <v>972</v>
      </c>
      <c r="C16" s="21" t="s">
        <v>916</v>
      </c>
      <c r="D16" s="68" t="str">
        <f>INDEX(CAT_ASSETS[id_cat], MATCH(CAT_DEVICE[[#This Row],[category]],CAT_ASSETS[category],0))</f>
        <v>MOBIL</v>
      </c>
      <c r="E16" s="21" t="s">
        <v>954</v>
      </c>
      <c r="F16" s="1" t="s">
        <v>876</v>
      </c>
      <c r="G16" s="68"/>
    </row>
    <row r="17" spans="2:7" x14ac:dyDescent="0.2">
      <c r="B17" s="4" t="s">
        <v>973</v>
      </c>
      <c r="C17" s="21" t="s">
        <v>917</v>
      </c>
      <c r="D17" s="68" t="str">
        <f>INDEX(CAT_ASSETS[id_cat], MATCH(CAT_DEVICE[[#This Row],[category]],CAT_ASSETS[category],0))</f>
        <v>MOBIL</v>
      </c>
      <c r="E17" s="21" t="s">
        <v>954</v>
      </c>
      <c r="F17" s="69" t="s">
        <v>878</v>
      </c>
      <c r="G17" s="68"/>
    </row>
    <row r="18" spans="2:7" x14ac:dyDescent="0.2">
      <c r="B18" s="4" t="s">
        <v>974</v>
      </c>
      <c r="C18" s="21" t="s">
        <v>918</v>
      </c>
      <c r="D18" s="68" t="str">
        <f>INDEX(CAT_ASSETS[id_cat], MATCH(CAT_DEVICE[[#This Row],[category]],CAT_ASSETS[category],0))</f>
        <v>MOBIL</v>
      </c>
      <c r="E18" s="21" t="s">
        <v>954</v>
      </c>
      <c r="F18" s="1" t="s">
        <v>877</v>
      </c>
      <c r="G18" s="68"/>
    </row>
    <row r="19" spans="2:7" x14ac:dyDescent="0.2">
      <c r="B19" s="4" t="s">
        <v>975</v>
      </c>
      <c r="C19" s="21" t="s">
        <v>919</v>
      </c>
      <c r="D19" s="68" t="str">
        <f>INDEX(CAT_ASSETS[id_cat], MATCH(CAT_DEVICE[[#This Row],[category]],CAT_ASSETS[category],0))</f>
        <v>MOBIL</v>
      </c>
      <c r="E19" s="21" t="s">
        <v>954</v>
      </c>
      <c r="F19" s="1" t="s">
        <v>879</v>
      </c>
      <c r="G19" s="68"/>
    </row>
    <row r="20" spans="2:7" x14ac:dyDescent="0.2">
      <c r="B20" s="4" t="s">
        <v>976</v>
      </c>
      <c r="C20" s="21" t="s">
        <v>920</v>
      </c>
      <c r="D20" s="68" t="str">
        <f>INDEX(CAT_ASSETS[id_cat], MATCH(CAT_DEVICE[[#This Row],[category]],CAT_ASSETS[category],0))</f>
        <v>NETDV</v>
      </c>
      <c r="E20" s="21" t="s">
        <v>955</v>
      </c>
      <c r="F20" s="1" t="s">
        <v>880</v>
      </c>
      <c r="G20" s="68"/>
    </row>
    <row r="21" spans="2:7" x14ac:dyDescent="0.2">
      <c r="B21" s="4" t="s">
        <v>977</v>
      </c>
      <c r="C21" s="21" t="s">
        <v>921</v>
      </c>
      <c r="D21" s="68" t="str">
        <f>INDEX(CAT_ASSETS[id_cat], MATCH(CAT_DEVICE[[#This Row],[category]],CAT_ASSETS[category],0))</f>
        <v>NETDV</v>
      </c>
      <c r="E21" s="21" t="s">
        <v>955</v>
      </c>
      <c r="F21" s="1" t="s">
        <v>881</v>
      </c>
      <c r="G21" s="68"/>
    </row>
    <row r="22" spans="2:7" x14ac:dyDescent="0.2">
      <c r="B22" s="4" t="s">
        <v>978</v>
      </c>
      <c r="C22" s="21" t="s">
        <v>922</v>
      </c>
      <c r="D22" s="68" t="str">
        <f>INDEX(CAT_ASSETS[id_cat], MATCH(CAT_DEVICE[[#This Row],[category]],CAT_ASSETS[category],0))</f>
        <v>NETDV</v>
      </c>
      <c r="E22" s="21" t="s">
        <v>955</v>
      </c>
      <c r="F22" s="1" t="s">
        <v>881</v>
      </c>
      <c r="G22" s="68"/>
    </row>
    <row r="23" spans="2:7" x14ac:dyDescent="0.2">
      <c r="B23" s="4" t="s">
        <v>979</v>
      </c>
      <c r="C23" s="21" t="s">
        <v>923</v>
      </c>
      <c r="D23" s="68" t="str">
        <f>INDEX(CAT_ASSETS[id_cat], MATCH(CAT_DEVICE[[#This Row],[category]],CAT_ASSETS[category],0))</f>
        <v>NETDV</v>
      </c>
      <c r="E23" s="21" t="s">
        <v>955</v>
      </c>
      <c r="F23" s="1" t="s">
        <v>882</v>
      </c>
      <c r="G23" s="68"/>
    </row>
    <row r="24" spans="2:7" x14ac:dyDescent="0.2">
      <c r="B24" s="4" t="s">
        <v>980</v>
      </c>
      <c r="C24" s="21" t="s">
        <v>924</v>
      </c>
      <c r="D24" s="68" t="str">
        <f>INDEX(CAT_ASSETS[id_cat], MATCH(CAT_DEVICE[[#This Row],[category]],CAT_ASSETS[category],0))</f>
        <v>NETDV</v>
      </c>
      <c r="E24" s="21" t="s">
        <v>955</v>
      </c>
      <c r="F24" s="1" t="s">
        <v>883</v>
      </c>
      <c r="G24" s="68"/>
    </row>
    <row r="25" spans="2:7" x14ac:dyDescent="0.2">
      <c r="B25" s="4" t="s">
        <v>981</v>
      </c>
      <c r="C25" s="21" t="s">
        <v>925</v>
      </c>
      <c r="D25" s="68" t="str">
        <f>INDEX(CAT_ASSETS[id_cat], MATCH(CAT_DEVICE[[#This Row],[category]],CAT_ASSETS[category],0))</f>
        <v>NETDV</v>
      </c>
      <c r="E25" s="21" t="s">
        <v>955</v>
      </c>
      <c r="F25" s="1" t="s">
        <v>884</v>
      </c>
      <c r="G25" s="68"/>
    </row>
    <row r="26" spans="2:7" x14ac:dyDescent="0.2">
      <c r="B26" s="4" t="s">
        <v>982</v>
      </c>
      <c r="C26" s="21" t="s">
        <v>926</v>
      </c>
      <c r="D26" s="68" t="str">
        <f>INDEX(CAT_ASSETS[id_cat], MATCH(CAT_DEVICE[[#This Row],[category]],CAT_ASSETS[category],0))</f>
        <v>NETDV</v>
      </c>
      <c r="E26" s="21" t="s">
        <v>955</v>
      </c>
      <c r="F26" s="1" t="s">
        <v>885</v>
      </c>
      <c r="G26" s="68"/>
    </row>
    <row r="27" spans="2:7" x14ac:dyDescent="0.2">
      <c r="B27" s="4" t="s">
        <v>983</v>
      </c>
      <c r="C27" s="21" t="s">
        <v>927</v>
      </c>
      <c r="D27" s="68" t="str">
        <f>INDEX(CAT_ASSETS[id_cat], MATCH(CAT_DEVICE[[#This Row],[category]],CAT_ASSETS[category],0))</f>
        <v>NETDV</v>
      </c>
      <c r="E27" s="21" t="s">
        <v>955</v>
      </c>
      <c r="F27" s="1" t="s">
        <v>886</v>
      </c>
      <c r="G27" s="68"/>
    </row>
    <row r="28" spans="2:7" x14ac:dyDescent="0.2">
      <c r="B28" s="4" t="s">
        <v>984</v>
      </c>
      <c r="C28" s="1" t="s">
        <v>928</v>
      </c>
      <c r="D28" s="68" t="str">
        <f>INDEX(CAT_ASSETS[id_cat], MATCH(CAT_DEVICE[[#This Row],[category]],CAT_ASSETS[category],0))</f>
        <v>STGDV</v>
      </c>
      <c r="E28" s="21" t="s">
        <v>956</v>
      </c>
      <c r="F28" s="1" t="s">
        <v>887</v>
      </c>
      <c r="G28" s="68"/>
    </row>
    <row r="29" spans="2:7" x14ac:dyDescent="0.2">
      <c r="B29" s="4" t="s">
        <v>985</v>
      </c>
      <c r="C29" s="1" t="s">
        <v>929</v>
      </c>
      <c r="D29" s="68" t="str">
        <f>INDEX(CAT_ASSETS[id_cat], MATCH(CAT_DEVICE[[#This Row],[category]],CAT_ASSETS[category],0))</f>
        <v>STGDV</v>
      </c>
      <c r="E29" s="21" t="s">
        <v>956</v>
      </c>
      <c r="F29" s="1" t="s">
        <v>888</v>
      </c>
      <c r="G29" s="68"/>
    </row>
    <row r="30" spans="2:7" x14ac:dyDescent="0.2">
      <c r="B30" s="4" t="s">
        <v>986</v>
      </c>
      <c r="C30" s="1" t="s">
        <v>930</v>
      </c>
      <c r="D30" s="68" t="str">
        <f>INDEX(CAT_ASSETS[id_cat], MATCH(CAT_DEVICE[[#This Row],[category]],CAT_ASSETS[category],0))</f>
        <v>STGDV</v>
      </c>
      <c r="E30" s="21" t="s">
        <v>956</v>
      </c>
      <c r="F30" s="1" t="s">
        <v>889</v>
      </c>
      <c r="G30" s="68"/>
    </row>
    <row r="31" spans="2:7" x14ac:dyDescent="0.2">
      <c r="B31" s="4" t="s">
        <v>987</v>
      </c>
      <c r="C31" s="1" t="s">
        <v>931</v>
      </c>
      <c r="D31" s="68" t="str">
        <f>INDEX(CAT_ASSETS[id_cat], MATCH(CAT_DEVICE[[#This Row],[category]],CAT_ASSETS[category],0))</f>
        <v>STGDV</v>
      </c>
      <c r="E31" s="21" t="s">
        <v>956</v>
      </c>
      <c r="F31" s="1" t="s">
        <v>890</v>
      </c>
      <c r="G31" s="68"/>
    </row>
    <row r="32" spans="2:7" x14ac:dyDescent="0.2">
      <c r="B32" s="4" t="s">
        <v>988</v>
      </c>
      <c r="C32" s="1" t="s">
        <v>932</v>
      </c>
      <c r="D32" s="68" t="str">
        <f>INDEX(CAT_ASSETS[id_cat], MATCH(CAT_DEVICE[[#This Row],[category]],CAT_ASSETS[category],0))</f>
        <v>STGDV</v>
      </c>
      <c r="E32" s="21" t="s">
        <v>956</v>
      </c>
      <c r="F32" s="1" t="s">
        <v>891</v>
      </c>
      <c r="G32" s="68"/>
    </row>
    <row r="33" spans="2:7" x14ac:dyDescent="0.2">
      <c r="B33" s="4" t="s">
        <v>989</v>
      </c>
      <c r="C33" s="1" t="s">
        <v>933</v>
      </c>
      <c r="D33" s="68" t="str">
        <f>INDEX(CAT_ASSETS[id_cat], MATCH(CAT_DEVICE[[#This Row],[category]],CAT_ASSETS[category],0))</f>
        <v>PERID</v>
      </c>
      <c r="E33" s="21" t="s">
        <v>957</v>
      </c>
      <c r="F33" s="1"/>
      <c r="G33" s="1" t="s">
        <v>892</v>
      </c>
    </row>
    <row r="34" spans="2:7" x14ac:dyDescent="0.2">
      <c r="B34" s="4" t="s">
        <v>990</v>
      </c>
      <c r="C34" s="1" t="s">
        <v>934</v>
      </c>
      <c r="D34" s="68" t="str">
        <f>INDEX(CAT_ASSETS[id_cat], MATCH(CAT_DEVICE[[#This Row],[category]],CAT_ASSETS[category],0))</f>
        <v>PERID</v>
      </c>
      <c r="E34" s="21" t="s">
        <v>957</v>
      </c>
      <c r="F34" s="1"/>
      <c r="G34" s="1" t="s">
        <v>893</v>
      </c>
    </row>
    <row r="35" spans="2:7" x14ac:dyDescent="0.2">
      <c r="B35" s="4" t="s">
        <v>991</v>
      </c>
      <c r="C35" s="1" t="s">
        <v>935</v>
      </c>
      <c r="D35" s="68" t="str">
        <f>INDEX(CAT_ASSETS[id_cat], MATCH(CAT_DEVICE[[#This Row],[category]],CAT_ASSETS[category],0))</f>
        <v>PERID</v>
      </c>
      <c r="E35" s="21" t="s">
        <v>957</v>
      </c>
      <c r="F35" s="1"/>
      <c r="G35" s="1" t="s">
        <v>894</v>
      </c>
    </row>
    <row r="36" spans="2:7" x14ac:dyDescent="0.2">
      <c r="B36" s="4" t="s">
        <v>992</v>
      </c>
      <c r="C36" s="21" t="s">
        <v>901</v>
      </c>
      <c r="D36" s="68" t="str">
        <f>INDEX(CAT_ASSETS[id_cat], MATCH(CAT_DEVICE[[#This Row],[category]],CAT_ASSETS[category],0))</f>
        <v>PERID</v>
      </c>
      <c r="E36" s="21" t="s">
        <v>957</v>
      </c>
      <c r="F36" s="1"/>
      <c r="G36" s="1" t="s">
        <v>894</v>
      </c>
    </row>
    <row r="37" spans="2:7" x14ac:dyDescent="0.2">
      <c r="B37" s="4" t="s">
        <v>993</v>
      </c>
      <c r="C37" s="1" t="s">
        <v>936</v>
      </c>
      <c r="D37" s="68" t="str">
        <f>INDEX(CAT_ASSETS[id_cat], MATCH(CAT_DEVICE[[#This Row],[category]],CAT_ASSETS[category],0))</f>
        <v>PERID</v>
      </c>
      <c r="E37" s="21" t="s">
        <v>957</v>
      </c>
      <c r="F37" s="1"/>
      <c r="G37" s="1" t="s">
        <v>895</v>
      </c>
    </row>
    <row r="38" spans="2:7" x14ac:dyDescent="0.2">
      <c r="B38" s="4" t="s">
        <v>994</v>
      </c>
      <c r="C38" s="1" t="s">
        <v>896</v>
      </c>
      <c r="D38" s="68" t="str">
        <f>INDEX(CAT_ASSETS[id_cat], MATCH(CAT_DEVICE[[#This Row],[category]],CAT_ASSETS[category],0))</f>
        <v>PERID</v>
      </c>
      <c r="E38" s="21" t="s">
        <v>957</v>
      </c>
      <c r="F38" s="1"/>
      <c r="G38" s="1" t="s">
        <v>897</v>
      </c>
    </row>
    <row r="39" spans="2:7" x14ac:dyDescent="0.2">
      <c r="B39" s="4" t="s">
        <v>995</v>
      </c>
      <c r="C39" s="1" t="s">
        <v>937</v>
      </c>
      <c r="D39" s="68" t="str">
        <f>INDEX(CAT_ASSETS[id_cat], MATCH(CAT_DEVICE[[#This Row],[category]],CAT_ASSETS[category],0))</f>
        <v>PERID</v>
      </c>
      <c r="E39" s="21" t="s">
        <v>957</v>
      </c>
      <c r="F39" s="1"/>
      <c r="G39" s="1" t="s">
        <v>898</v>
      </c>
    </row>
    <row r="40" spans="2:7" x14ac:dyDescent="0.2">
      <c r="B40" s="4" t="s">
        <v>996</v>
      </c>
      <c r="C40" s="1" t="s">
        <v>938</v>
      </c>
      <c r="D40" s="68" t="str">
        <f>INDEX(CAT_ASSETS[id_cat], MATCH(CAT_DEVICE[[#This Row],[category]],CAT_ASSETS[category],0))</f>
        <v>PERID</v>
      </c>
      <c r="E40" s="21" t="s">
        <v>957</v>
      </c>
      <c r="F40" s="1"/>
      <c r="G40" s="1" t="s">
        <v>899</v>
      </c>
    </row>
    <row r="41" spans="2:7" x14ac:dyDescent="0.2">
      <c r="B41" s="4" t="s">
        <v>997</v>
      </c>
      <c r="C41" s="1" t="s">
        <v>446</v>
      </c>
      <c r="D41" s="68" t="str">
        <f>INDEX(CAT_ASSETS[id_cat], MATCH(CAT_DEVICE[[#This Row],[category]],CAT_ASSETS[category],0))</f>
        <v>PERID</v>
      </c>
      <c r="E41" s="21" t="s">
        <v>957</v>
      </c>
      <c r="F41" s="1"/>
      <c r="G41" s="1" t="s">
        <v>900</v>
      </c>
    </row>
    <row r="42" spans="2:7" x14ac:dyDescent="0.2">
      <c r="B42" s="4" t="s">
        <v>998</v>
      </c>
      <c r="C42" s="21" t="s">
        <v>939</v>
      </c>
      <c r="D42" s="68" t="str">
        <f>INDEX(CAT_ASSETS[id_cat], MATCH(CAT_DEVICE[[#This Row],[category]],CAT_ASSETS[category],0))</f>
        <v>PERID</v>
      </c>
      <c r="E42" s="21" t="s">
        <v>957</v>
      </c>
      <c r="F42" s="1"/>
      <c r="G42" s="68"/>
    </row>
    <row r="43" spans="2:7" x14ac:dyDescent="0.2">
      <c r="B43" s="4" t="s">
        <v>999</v>
      </c>
      <c r="C43" s="1" t="s">
        <v>940</v>
      </c>
      <c r="D43" s="68" t="str">
        <f>INDEX(CAT_ASSETS[id_cat], MATCH(CAT_DEVICE[[#This Row],[category]],CAT_ASSETS[category],0))</f>
        <v>SECDV</v>
      </c>
      <c r="E43" s="21" t="s">
        <v>958</v>
      </c>
      <c r="F43" s="1" t="s">
        <v>902</v>
      </c>
      <c r="G43" s="68"/>
    </row>
    <row r="44" spans="2:7" x14ac:dyDescent="0.2">
      <c r="B44" s="4" t="s">
        <v>1000</v>
      </c>
      <c r="C44" s="1" t="s">
        <v>941</v>
      </c>
      <c r="D44" s="68" t="str">
        <f>INDEX(CAT_ASSETS[id_cat], MATCH(CAT_DEVICE[[#This Row],[category]],CAT_ASSETS[category],0))</f>
        <v>SECDV</v>
      </c>
      <c r="E44" s="21" t="s">
        <v>958</v>
      </c>
      <c r="F44" s="1" t="s">
        <v>903</v>
      </c>
      <c r="G44" s="68"/>
    </row>
    <row r="45" spans="2:7" x14ac:dyDescent="0.2">
      <c r="B45" s="4" t="s">
        <v>1001</v>
      </c>
      <c r="C45" s="1" t="s">
        <v>942</v>
      </c>
      <c r="D45" s="68" t="str">
        <f>INDEX(CAT_ASSETS[id_cat], MATCH(CAT_DEVICE[[#This Row],[category]],CAT_ASSETS[category],0))</f>
        <v>SECDV</v>
      </c>
      <c r="E45" s="21" t="s">
        <v>958</v>
      </c>
      <c r="F45" s="1" t="s">
        <v>904</v>
      </c>
      <c r="G45" s="68"/>
    </row>
    <row r="46" spans="2:7" x14ac:dyDescent="0.2">
      <c r="B46" s="4" t="s">
        <v>1002</v>
      </c>
      <c r="C46" s="1" t="s">
        <v>943</v>
      </c>
      <c r="D46" s="68" t="str">
        <f>INDEX(CAT_ASSETS[id_cat], MATCH(CAT_DEVICE[[#This Row],[category]],CAT_ASSETS[category],0))</f>
        <v>SECDV</v>
      </c>
      <c r="E46" s="21" t="s">
        <v>958</v>
      </c>
      <c r="F46" s="1" t="s">
        <v>905</v>
      </c>
      <c r="G46" s="68"/>
    </row>
    <row r="47" spans="2:7" x14ac:dyDescent="0.2">
      <c r="B47" s="4" t="s">
        <v>1003</v>
      </c>
      <c r="C47" s="1" t="s">
        <v>944</v>
      </c>
      <c r="D47" s="68" t="str">
        <f>INDEX(CAT_ASSETS[id_cat], MATCH(CAT_DEVICE[[#This Row],[category]],CAT_ASSETS[category],0))</f>
        <v>SECDV</v>
      </c>
      <c r="E47" s="21" t="s">
        <v>958</v>
      </c>
      <c r="F47" s="1" t="s">
        <v>906</v>
      </c>
      <c r="G47" s="68"/>
    </row>
    <row r="48" spans="2:7" x14ac:dyDescent="0.2">
      <c r="B48" s="4" t="s">
        <v>1004</v>
      </c>
      <c r="C48" s="1" t="s">
        <v>945</v>
      </c>
      <c r="D48" s="68" t="str">
        <f>INDEX(CAT_ASSETS[id_cat], MATCH(CAT_DEVICE[[#This Row],[category]],CAT_ASSETS[category],0))</f>
        <v>TELCD</v>
      </c>
      <c r="E48" s="21" t="s">
        <v>959</v>
      </c>
      <c r="F48" s="1" t="s">
        <v>907</v>
      </c>
      <c r="G48" s="68"/>
    </row>
    <row r="49" spans="2:7" x14ac:dyDescent="0.2">
      <c r="B49" s="4" t="s">
        <v>1005</v>
      </c>
      <c r="C49" s="1" t="s">
        <v>946</v>
      </c>
      <c r="D49" s="68" t="str">
        <f>INDEX(CAT_ASSETS[id_cat], MATCH(CAT_DEVICE[[#This Row],[category]],CAT_ASSETS[category],0))</f>
        <v>TELCD</v>
      </c>
      <c r="E49" s="21" t="s">
        <v>959</v>
      </c>
      <c r="F49" s="1" t="s">
        <v>908</v>
      </c>
      <c r="G49" s="68"/>
    </row>
    <row r="50" spans="2:7" x14ac:dyDescent="0.2">
      <c r="B50" s="4" t="s">
        <v>1006</v>
      </c>
      <c r="C50" s="1" t="s">
        <v>947</v>
      </c>
      <c r="D50" s="68" t="str">
        <f>INDEX(CAT_ASSETS[id_cat], MATCH(CAT_DEVICE[[#This Row],[category]],CAT_ASSETS[category],0))</f>
        <v>TELCD</v>
      </c>
      <c r="E50" s="21" t="s">
        <v>959</v>
      </c>
      <c r="F50" s="1" t="s">
        <v>909</v>
      </c>
      <c r="G50" s="68"/>
    </row>
    <row r="51" spans="2:7" x14ac:dyDescent="0.2">
      <c r="B51" s="4" t="s">
        <v>1007</v>
      </c>
      <c r="C51" s="1" t="s">
        <v>948</v>
      </c>
      <c r="D51" s="68" t="str">
        <f>INDEX(CAT_ASSETS[id_cat], MATCH(CAT_DEVICE[[#This Row],[category]],CAT_ASSETS[category],0))</f>
        <v>TELCD</v>
      </c>
      <c r="E51" s="21" t="s">
        <v>959</v>
      </c>
      <c r="F51" s="1" t="s">
        <v>910</v>
      </c>
      <c r="G51" s="68"/>
    </row>
    <row r="52" spans="2:7" x14ac:dyDescent="0.2">
      <c r="B52" s="4" t="s">
        <v>1008</v>
      </c>
      <c r="C52" s="1" t="s">
        <v>949</v>
      </c>
      <c r="D52" s="68" t="str">
        <f>INDEX(CAT_ASSETS[id_cat], MATCH(CAT_DEVICE[[#This Row],[category]],CAT_ASSETS[category],0))</f>
        <v>DCINF</v>
      </c>
      <c r="E52" s="21" t="s">
        <v>960</v>
      </c>
      <c r="F52" s="1" t="s">
        <v>911</v>
      </c>
      <c r="G52" s="68"/>
    </row>
    <row r="53" spans="2:7" x14ac:dyDescent="0.2">
      <c r="B53" s="4" t="s">
        <v>1009</v>
      </c>
      <c r="C53" s="1" t="s">
        <v>950</v>
      </c>
      <c r="D53" s="68" t="str">
        <f>INDEX(CAT_ASSETS[id_cat], MATCH(CAT_DEVICE[[#This Row],[category]],CAT_ASSETS[category],0))</f>
        <v>DCINF</v>
      </c>
      <c r="E53" s="21" t="s">
        <v>960</v>
      </c>
      <c r="F53" s="1" t="s">
        <v>912</v>
      </c>
      <c r="G53" s="68"/>
    </row>
    <row r="54" spans="2:7" x14ac:dyDescent="0.2">
      <c r="B54" s="4" t="s">
        <v>1010</v>
      </c>
      <c r="C54" s="1" t="s">
        <v>951</v>
      </c>
      <c r="D54" s="68" t="str">
        <f>INDEX(CAT_ASSETS[id_cat], MATCH(CAT_DEVICE[[#This Row],[category]],CAT_ASSETS[category],0))</f>
        <v>DCINF</v>
      </c>
      <c r="E54" s="21" t="s">
        <v>960</v>
      </c>
      <c r="F54" s="1" t="s">
        <v>913</v>
      </c>
      <c r="G54" s="68"/>
    </row>
    <row r="55" spans="2:7" x14ac:dyDescent="0.2">
      <c r="B55" s="4" t="s">
        <v>1011</v>
      </c>
      <c r="C55" s="1" t="s">
        <v>952</v>
      </c>
      <c r="D55" s="68" t="str">
        <f>INDEX(CAT_ASSETS[id_cat], MATCH(CAT_DEVICE[[#This Row],[category]],CAT_ASSETS[category],0))</f>
        <v>DCINF</v>
      </c>
      <c r="E55" s="21" t="s">
        <v>960</v>
      </c>
      <c r="F55" s="1" t="s">
        <v>914</v>
      </c>
      <c r="G55" s="68"/>
    </row>
    <row r="56" spans="2:7" x14ac:dyDescent="0.2">
      <c r="B56" s="4" t="s">
        <v>1012</v>
      </c>
      <c r="C56" s="1" t="s">
        <v>953</v>
      </c>
      <c r="D56" s="68" t="str">
        <f>INDEX(CAT_ASSETS[id_cat], MATCH(CAT_DEVICE[[#This Row],[category]],CAT_ASSETS[category],0))</f>
        <v>DCINF</v>
      </c>
      <c r="E56" s="21" t="s">
        <v>960</v>
      </c>
      <c r="F56" s="1" t="s">
        <v>915</v>
      </c>
      <c r="G56" s="68"/>
    </row>
  </sheetData>
  <phoneticPr fontId="3" type="noConversion"/>
  <conditionalFormatting sqref="B5:C27 B28:B38">
    <cfRule type="duplicateValues" dxfId="11" priority="9"/>
  </conditionalFormatting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BCF7-85FC-4A70-932F-5DEDD00AB6DC}">
  <dimension ref="A1:BA19"/>
  <sheetViews>
    <sheetView showGridLines="0" tabSelected="1" zoomScale="85" zoomScaleNormal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N28" sqref="N28"/>
    </sheetView>
  </sheetViews>
  <sheetFormatPr baseColWidth="10" defaultColWidth="8.83203125" defaultRowHeight="15" x14ac:dyDescent="0.2"/>
  <cols>
    <col min="1" max="1" width="2.6640625" customWidth="1"/>
    <col min="2" max="2" width="11.33203125" customWidth="1"/>
    <col min="3" max="3" width="14.5" bestFit="1" customWidth="1"/>
    <col min="4" max="4" width="16.5" bestFit="1" customWidth="1"/>
    <col min="5" max="5" width="17.33203125" bestFit="1" customWidth="1"/>
    <col min="6" max="6" width="15.5" bestFit="1" customWidth="1"/>
    <col min="7" max="7" width="9.5" customWidth="1"/>
    <col min="8" max="8" width="12.6640625" bestFit="1" customWidth="1"/>
    <col min="9" max="9" width="14.5" customWidth="1"/>
    <col min="10" max="10" width="10.33203125" bestFit="1" customWidth="1"/>
    <col min="11" max="11" width="14.6640625" bestFit="1" customWidth="1"/>
    <col min="12" max="12" width="12.6640625" customWidth="1"/>
    <col min="13" max="13" width="28.5" bestFit="1" customWidth="1"/>
    <col min="14" max="14" width="15.6640625" bestFit="1" customWidth="1"/>
    <col min="15" max="15" width="29" bestFit="1" customWidth="1"/>
    <col min="16" max="16" width="15.6640625" bestFit="1" customWidth="1"/>
    <col min="17" max="17" width="34.5" bestFit="1" customWidth="1"/>
    <col min="18" max="18" width="13.5" customWidth="1"/>
    <col min="19" max="19" width="14.1640625" bestFit="1" customWidth="1"/>
    <col min="20" max="20" width="14.1640625" customWidth="1"/>
    <col min="21" max="21" width="24.83203125" bestFit="1" customWidth="1"/>
    <col min="22" max="22" width="31.33203125" bestFit="1" customWidth="1"/>
    <col min="23" max="24" width="8" bestFit="1" customWidth="1"/>
    <col min="25" max="25" width="8.83203125" bestFit="1" customWidth="1"/>
    <col min="26" max="26" width="12.5" bestFit="1" customWidth="1"/>
    <col min="27" max="27" width="12.83203125" bestFit="1" customWidth="1"/>
    <col min="28" max="28" width="18.6640625" bestFit="1" customWidth="1"/>
    <col min="29" max="29" width="15.1640625" bestFit="1" customWidth="1"/>
    <col min="30" max="30" width="15.5" bestFit="1" customWidth="1"/>
    <col min="31" max="31" width="14.83203125" bestFit="1" customWidth="1"/>
    <col min="32" max="32" width="15.33203125" bestFit="1" customWidth="1"/>
    <col min="33" max="33" width="14.83203125" bestFit="1" customWidth="1"/>
    <col min="34" max="34" width="9.33203125" bestFit="1" customWidth="1"/>
    <col min="35" max="35" width="14" bestFit="1" customWidth="1"/>
    <col min="36" max="36" width="15.5" bestFit="1" customWidth="1"/>
    <col min="37" max="37" width="13.33203125" bestFit="1" customWidth="1"/>
    <col min="38" max="38" width="17.6640625" bestFit="1" customWidth="1"/>
    <col min="39" max="39" width="15.83203125" bestFit="1" customWidth="1"/>
    <col min="40" max="40" width="14.1640625" bestFit="1" customWidth="1"/>
    <col min="41" max="41" width="50.6640625" customWidth="1"/>
    <col min="42" max="42" width="14.6640625" bestFit="1" customWidth="1"/>
    <col min="43" max="43" width="50.6640625" customWidth="1"/>
    <col min="44" max="44" width="18.5" bestFit="1" customWidth="1"/>
    <col min="45" max="45" width="15" bestFit="1" customWidth="1"/>
    <col min="46" max="46" width="22.5" bestFit="1" customWidth="1"/>
    <col min="47" max="47" width="50.6640625" customWidth="1"/>
    <col min="48" max="48" width="14.6640625" bestFit="1" customWidth="1"/>
    <col min="49" max="49" width="15.6640625" bestFit="1" customWidth="1"/>
    <col min="50" max="50" width="15.6640625" style="3" customWidth="1"/>
    <col min="52" max="52" width="22.1640625" bestFit="1" customWidth="1"/>
    <col min="53" max="53" width="19.5" bestFit="1" customWidth="1"/>
  </cols>
  <sheetData>
    <row r="1" spans="1:53" x14ac:dyDescent="0.2">
      <c r="AX1"/>
    </row>
    <row r="2" spans="1:53" x14ac:dyDescent="0.2">
      <c r="B2" s="4" cm="1">
        <f t="array" ref="B2">MAX(LEN(Table12[id_compd]))</f>
        <v>9</v>
      </c>
      <c r="C2" s="4" cm="1">
        <f t="array" ref="C2">MAX(LEN(Table12[hostname]))</f>
        <v>13</v>
      </c>
      <c r="D2" s="4" cm="1">
        <f t="array" ref="D2">MAX(LEN(Table12[sn]))</f>
        <v>15</v>
      </c>
      <c r="E2" s="4" cm="1">
        <f t="array" ref="E2">MAX(LEN(Table12[barcode]))</f>
        <v>16</v>
      </c>
      <c r="F2" s="4" t="e" cm="1">
        <f t="array" ref="F2">MAX(LEN(Table12[id_cat_device]))</f>
        <v>#N/A</v>
      </c>
      <c r="G2" s="4" cm="1">
        <f t="array" ref="G2">MAX(LEN(Table12[brand]))</f>
        <v>4</v>
      </c>
      <c r="H2" s="4" cm="1">
        <f t="array" ref="H2">MAX(LEN(Table12[type]))</f>
        <v>14</v>
      </c>
      <c r="I2" s="4" cm="1">
        <f t="array" ref="I2">MAX(LEN(Table12[processors]))</f>
        <v>9</v>
      </c>
      <c r="J2" s="4" cm="1">
        <f t="array" ref="J2">MAX(LEN(Table12[gen]))</f>
        <v>2</v>
      </c>
      <c r="K2" s="4" cm="1">
        <f t="array" ref="K2">MAX(LEN(Table12[ram_cap]))</f>
        <v>2</v>
      </c>
      <c r="L2" s="4" cm="1">
        <f t="array" ref="L2">MAX(LEN(Table12[ram_slot]))</f>
        <v>6</v>
      </c>
      <c r="M2" s="4" cm="1">
        <f t="array" ref="M2">MAX(LEN(Table12[ram_type]))</f>
        <v>30</v>
      </c>
      <c r="N2" s="4" cm="1">
        <f t="array" ref="N2">MAX(LEN(Table12[disk1_cap]))</f>
        <v>3</v>
      </c>
      <c r="O2" s="4" cm="1">
        <f t="array" ref="O2">MAX(LEN(Table12[disk1_type]))</f>
        <v>28</v>
      </c>
      <c r="P2" s="4" cm="1">
        <f t="array" ref="P2">MAX(LEN(Table12[disk2_cap]))</f>
        <v>4</v>
      </c>
      <c r="Q2" s="4" cm="1">
        <f t="array" ref="Q2">MAX(LEN(Table12[disk2_type]))</f>
        <v>32</v>
      </c>
      <c r="R2" s="4" cm="1">
        <f t="array" ref="R2">MAX(LEN(Table12[os]))</f>
        <v>7</v>
      </c>
      <c r="S2" s="4" cm="1">
        <f t="array" ref="S2">MAX(LEN(Table12[os_type]))</f>
        <v>14</v>
      </c>
      <c r="T2" s="4" cm="1">
        <f t="array" ref="T2">MAX(LEN(Table12[os_ver]))</f>
        <v>4</v>
      </c>
      <c r="U2" s="4" cm="1">
        <f t="array" ref="U2">MAX(LEN(Table12[product_id]))</f>
        <v>23</v>
      </c>
      <c r="V2" s="4" cm="1">
        <f t="array" ref="V2">MAX(LEN(Table12[product_key]))</f>
        <v>29</v>
      </c>
      <c r="W2" s="4" cm="1">
        <f t="array" ref="W2">MAX(LEN(Table12[bh]))</f>
        <v>17</v>
      </c>
      <c r="X2" s="4" cm="1">
        <f t="array" ref="X2">MAX(LEN(Table12[dc]))</f>
        <v>5</v>
      </c>
      <c r="Y2" s="4" cm="1">
        <f t="array" ref="Y2">MAX(LEN(Table12[fcc]))</f>
        <v>5</v>
      </c>
      <c r="Z2" s="4" cm="1">
        <f t="array" ref="Z2">MAX(LEN(Table12[casing]))</f>
        <v>4</v>
      </c>
      <c r="AA2" s="4" cm="1">
        <f t="array" ref="AA2">MAX(LEN(Table12[display]))</f>
        <v>4</v>
      </c>
      <c r="AB2" s="4" cm="1">
        <f t="array" ref="AB2">MAX(LEN(Table12[port_display]))</f>
        <v>11</v>
      </c>
      <c r="AC2" s="4" cm="1">
        <f t="array" ref="AC2">MAX(LEN(Table12[keyboard]))</f>
        <v>4</v>
      </c>
      <c r="AD2" s="4" cm="1">
        <f t="array" ref="AD2">MAX(LEN(Table12[touchpad]))</f>
        <v>4</v>
      </c>
      <c r="AE2" s="4" cm="1">
        <f t="array" ref="AE2">MAX(LEN(Table12[port_usb]))</f>
        <v>13</v>
      </c>
      <c r="AF2" s="4" cm="1">
        <f t="array" ref="AF2">MAX(LEN(Table12[port_jeck]))</f>
        <v>4</v>
      </c>
      <c r="AG2" s="4" cm="1">
        <f t="array" ref="AG2">MAX(LEN(Table12[port_psu]))</f>
        <v>4</v>
      </c>
      <c r="AH2" s="4" cm="1">
        <f t="array" ref="AH2">MAX(LEN(Table12[fan]))</f>
        <v>4</v>
      </c>
      <c r="AI2" s="4" cm="1">
        <f t="array" ref="AI2">MAX(LEN(Table12[webcam]))</f>
        <v>4</v>
      </c>
      <c r="AJ2" s="4" cm="1">
        <f t="array" ref="AJ2">MAX(LEN(Table12[microfon]))</f>
        <v>4</v>
      </c>
      <c r="AK2" s="4" cm="1">
        <f t="array" ref="AK2">MAX(LEN(Table12[speaker]))</f>
        <v>4</v>
      </c>
      <c r="AL2" s="4" cm="1">
        <f t="array" ref="AL2">MAX(LEN(Table12[connection]))</f>
        <v>14</v>
      </c>
      <c r="AM2" s="4" cm="1">
        <f t="array" ref="AM2">MAX(LEN(Table12[conditions]))</f>
        <v>4</v>
      </c>
      <c r="AN2" s="4" cm="1">
        <f t="array" ref="AN2">MAX(LEN(Table12[sub_con]))</f>
        <v>7</v>
      </c>
      <c r="AO2" s="4" cm="1">
        <f t="array" ref="AO2">MAX(LEN(Table12[note_con]))</f>
        <v>41</v>
      </c>
      <c r="AP2" s="4" cm="1">
        <f t="array" ref="AP2">MAX(LEN(Table12[solution]))</f>
        <v>7</v>
      </c>
      <c r="AQ2" s="4" cm="1">
        <f t="array" ref="AQ2">MAX(LEN(Table12[note_sol]))</f>
        <v>60</v>
      </c>
      <c r="AR2" s="4" cm="1">
        <f t="array" ref="AR2">MAX(LEN(Table12[status_func]))</f>
        <v>3</v>
      </c>
      <c r="AS2" s="4" cm="1">
        <f t="array" ref="AS2">MAX(LEN(Table12[functions]))</f>
        <v>8</v>
      </c>
      <c r="AT2" s="4" cm="1">
        <f t="array" ref="AT2">MAX(LEN(Table12[note_func]))</f>
        <v>25</v>
      </c>
      <c r="AU2" s="4" cm="1">
        <f t="array" ref="AU2">MAX(LEN(Table12[history_pic]))</f>
        <v>19</v>
      </c>
      <c r="AV2" s="4" cm="1">
        <f t="array" ref="AV2">MAX(LEN(Table12[location]))</f>
        <v>6</v>
      </c>
      <c r="AW2" s="4" cm="1">
        <f t="array" ref="AW2">MAX(LEN(Table12[note_loc]))</f>
        <v>18</v>
      </c>
      <c r="AX2" s="4"/>
      <c r="AY2" s="4" cm="1">
        <f t="array" ref="AY2">MAX(LEN(Table12[pic_nip]))</f>
        <v>6</v>
      </c>
      <c r="AZ2" s="4" cm="1">
        <f t="array" ref="AZ2">MAX(LEN(Table12[id_maintenance]))</f>
        <v>11</v>
      </c>
    </row>
    <row r="3" spans="1:53" s="4" customFormat="1" ht="14" x14ac:dyDescent="0.2">
      <c r="K3" s="29" t="s">
        <v>433</v>
      </c>
      <c r="N3" s="29" t="s">
        <v>433</v>
      </c>
      <c r="O3" s="29" t="s">
        <v>543</v>
      </c>
      <c r="P3" s="29" t="s">
        <v>433</v>
      </c>
      <c r="Q3" s="29" t="s">
        <v>543</v>
      </c>
      <c r="X3" s="105" t="s">
        <v>442</v>
      </c>
      <c r="Y3" s="105"/>
    </row>
    <row r="4" spans="1:53" s="3" customFormat="1" x14ac:dyDescent="0.2">
      <c r="B4" s="23" t="s">
        <v>1024</v>
      </c>
      <c r="C4" s="24" t="s">
        <v>683</v>
      </c>
      <c r="D4" s="24" t="s">
        <v>684</v>
      </c>
      <c r="E4" s="24" t="s">
        <v>685</v>
      </c>
      <c r="F4" s="45" t="s">
        <v>1013</v>
      </c>
      <c r="G4" s="24" t="s">
        <v>687</v>
      </c>
      <c r="H4" s="24" t="s">
        <v>676</v>
      </c>
      <c r="I4" s="24" t="s">
        <v>688</v>
      </c>
      <c r="J4" s="24" t="s">
        <v>689</v>
      </c>
      <c r="K4" s="24" t="s">
        <v>690</v>
      </c>
      <c r="L4" s="24" t="s">
        <v>691</v>
      </c>
      <c r="M4" s="24" t="s">
        <v>692</v>
      </c>
      <c r="N4" s="24" t="s">
        <v>693</v>
      </c>
      <c r="O4" s="24" t="s">
        <v>694</v>
      </c>
      <c r="P4" s="24" t="s">
        <v>695</v>
      </c>
      <c r="Q4" s="24" t="s">
        <v>696</v>
      </c>
      <c r="R4" s="24" t="s">
        <v>697</v>
      </c>
      <c r="S4" s="24" t="s">
        <v>698</v>
      </c>
      <c r="T4" s="24" t="s">
        <v>699</v>
      </c>
      <c r="U4" s="24" t="s">
        <v>700</v>
      </c>
      <c r="V4" s="24" t="s">
        <v>701</v>
      </c>
      <c r="W4" s="45" t="s">
        <v>702</v>
      </c>
      <c r="X4" s="24" t="s">
        <v>703</v>
      </c>
      <c r="Y4" s="24" t="s">
        <v>704</v>
      </c>
      <c r="Z4" s="24" t="s">
        <v>705</v>
      </c>
      <c r="AA4" s="24" t="s">
        <v>706</v>
      </c>
      <c r="AB4" s="24" t="s">
        <v>707</v>
      </c>
      <c r="AC4" s="24" t="s">
        <v>708</v>
      </c>
      <c r="AD4" s="24" t="s">
        <v>709</v>
      </c>
      <c r="AE4" s="24" t="s">
        <v>710</v>
      </c>
      <c r="AF4" s="24" t="s">
        <v>711</v>
      </c>
      <c r="AG4" s="24" t="s">
        <v>712</v>
      </c>
      <c r="AH4" s="24" t="s">
        <v>713</v>
      </c>
      <c r="AI4" s="24" t="s">
        <v>714</v>
      </c>
      <c r="AJ4" s="24" t="s">
        <v>715</v>
      </c>
      <c r="AK4" s="24" t="s">
        <v>716</v>
      </c>
      <c r="AL4" s="24" t="s">
        <v>717</v>
      </c>
      <c r="AM4" s="45" t="s">
        <v>718</v>
      </c>
      <c r="AN4" s="24" t="s">
        <v>719</v>
      </c>
      <c r="AO4" s="24" t="s">
        <v>720</v>
      </c>
      <c r="AP4" s="45" t="s">
        <v>721</v>
      </c>
      <c r="AQ4" s="24" t="s">
        <v>722</v>
      </c>
      <c r="AR4" s="24" t="s">
        <v>723</v>
      </c>
      <c r="AS4" s="24" t="s">
        <v>724</v>
      </c>
      <c r="AT4" s="24" t="s">
        <v>725</v>
      </c>
      <c r="AU4" s="24" t="s">
        <v>726</v>
      </c>
      <c r="AV4" s="24" t="s">
        <v>727</v>
      </c>
      <c r="AW4" s="24" t="s">
        <v>728</v>
      </c>
      <c r="AX4" s="45" t="s">
        <v>662</v>
      </c>
      <c r="AY4" s="24" t="s">
        <v>674</v>
      </c>
      <c r="AZ4" s="25" t="s">
        <v>729</v>
      </c>
      <c r="BA4" s="45" t="s">
        <v>730</v>
      </c>
    </row>
    <row r="5" spans="1:53" x14ac:dyDescent="0.2">
      <c r="A5" s="3"/>
      <c r="B5" s="30" t="s">
        <v>1025</v>
      </c>
      <c r="C5" s="14" t="s">
        <v>505</v>
      </c>
      <c r="D5" s="14" t="s">
        <v>483</v>
      </c>
      <c r="E5" s="46" t="s">
        <v>620</v>
      </c>
      <c r="F5" s="14" t="str">
        <f>_xlfn.IFS(LEFT(Table12[[#This Row],[id_compd]],4)="DT","PC DESKTOP",LEFT(Table12[[#This Row],[id_compd]],4)="LAPT","LAPT")</f>
        <v>LAPT</v>
      </c>
      <c r="G5" s="14" t="s">
        <v>425</v>
      </c>
      <c r="H5" s="14" t="s">
        <v>515</v>
      </c>
      <c r="I5" s="14" t="s">
        <v>520</v>
      </c>
      <c r="J5" s="52">
        <v>8</v>
      </c>
      <c r="K5" s="52">
        <v>16</v>
      </c>
      <c r="L5" s="52" t="s">
        <v>540</v>
      </c>
      <c r="M5" s="56" t="s">
        <v>601</v>
      </c>
      <c r="N5" s="52">
        <v>256</v>
      </c>
      <c r="O5" s="54" t="s">
        <v>602</v>
      </c>
      <c r="P5" s="52">
        <v>1000</v>
      </c>
      <c r="Q5" s="54" t="s">
        <v>603</v>
      </c>
      <c r="R5" s="14" t="s">
        <v>435</v>
      </c>
      <c r="S5" s="14" t="s">
        <v>436</v>
      </c>
      <c r="T5" s="14" t="s">
        <v>439</v>
      </c>
      <c r="U5" s="57" t="s">
        <v>604</v>
      </c>
      <c r="V5" s="57" t="s">
        <v>545</v>
      </c>
      <c r="W5" s="59" t="str">
        <f>IFERROR(IF(Table12[[#This Row],[id_cat_device]]="PC DESKTOP","NA",(Table12[[#This Row],[fcc]]/Table12[[#This Row],[dc]])),"")</f>
        <v/>
      </c>
      <c r="X5" s="60"/>
      <c r="Y5" s="60"/>
      <c r="Z5" s="15" t="s">
        <v>456</v>
      </c>
      <c r="AA5" s="15" t="s">
        <v>456</v>
      </c>
      <c r="AB5" s="14" t="s">
        <v>458</v>
      </c>
      <c r="AC5" s="15" t="s">
        <v>456</v>
      </c>
      <c r="AD5" s="15" t="s">
        <v>456</v>
      </c>
      <c r="AE5" s="52"/>
      <c r="AF5" s="15" t="s">
        <v>456</v>
      </c>
      <c r="AG5" s="15" t="s">
        <v>456</v>
      </c>
      <c r="AH5" s="15" t="s">
        <v>456</v>
      </c>
      <c r="AI5" s="15" t="s">
        <v>456</v>
      </c>
      <c r="AJ5" s="15" t="s">
        <v>456</v>
      </c>
      <c r="AK5" s="15" t="s">
        <v>456</v>
      </c>
      <c r="AL5" s="14" t="s">
        <v>455</v>
      </c>
      <c r="AM5" s="14" t="str">
        <f>IF(OR(Table12[[#This Row],[sub_con]]="CAUTION",Table12[[#This Row],[sub_con]]="POOR"),"BAD","GOOD")</f>
        <v>GOOD</v>
      </c>
      <c r="AN5" s="14" t="s">
        <v>525</v>
      </c>
      <c r="AO5" s="14" t="s">
        <v>528</v>
      </c>
      <c r="AP5" s="14" t="str" cm="1">
        <f t="array" ref="AP5">_xlfn.IFS(
Table12[[#This Row],[sub_con]]="GREAT","KEEP",
Table12[[#This Row],[sub_con]]="NORMAL","UPGRADE",
Table12[[#This Row],[sub_con]]="CAUTION","SERVICE",
Table12[[#This Row],[sub_con]]="POOR","DISPOSE")</f>
        <v>UPGRADE</v>
      </c>
      <c r="AQ5" s="43" t="s">
        <v>531</v>
      </c>
      <c r="AR5" s="14" t="s">
        <v>278</v>
      </c>
      <c r="AS5" s="14" t="s">
        <v>546</v>
      </c>
      <c r="AT5" s="14" t="s">
        <v>280</v>
      </c>
      <c r="AU5" s="14" t="s">
        <v>280</v>
      </c>
      <c r="AV5" s="14" t="s">
        <v>547</v>
      </c>
      <c r="AW5" s="14" t="s">
        <v>548</v>
      </c>
      <c r="AX5" s="15" t="str">
        <f>IF(Table12[[#This Row],[pic_nip]]&lt;&gt;999999,"IN USE",IF(AND(Table12[[#This Row],[note_loc]]="WAREHOUSE",Table12[[#This Row],[pic_nip]]=999999),"IN STORE","IN-ACTIVE"))</f>
        <v>IN USE</v>
      </c>
      <c r="AY5" s="52">
        <v>221284</v>
      </c>
      <c r="AZ5" s="26" t="s">
        <v>587</v>
      </c>
      <c r="BA5" s="34" t="str">
        <f>IF(COUNTBLANK(Table12[[#This Row],[id_compd]:[id_maintenance]])&gt;0,"VALIDATE [IN PROGRESS]","VALIDATE [DONE]")</f>
        <v>VALIDATE [IN PROGRESS]</v>
      </c>
    </row>
    <row r="6" spans="1:53" x14ac:dyDescent="0.2">
      <c r="A6" s="3"/>
      <c r="B6" s="30" t="s">
        <v>1027</v>
      </c>
      <c r="C6" s="14" t="s">
        <v>506</v>
      </c>
      <c r="D6" s="14" t="s">
        <v>484</v>
      </c>
      <c r="E6" s="14" t="s">
        <v>555</v>
      </c>
      <c r="F6" s="14" t="str">
        <f>_xlfn.IFS(LEFT(Table12[[#This Row],[id_compd]],4)="DT","PC DESKTOP",LEFT(Table12[[#This Row],[id_compd]],4)="LAPT","LAPT")</f>
        <v>LAPT</v>
      </c>
      <c r="G6" s="14" t="s">
        <v>425</v>
      </c>
      <c r="H6" s="14" t="s">
        <v>516</v>
      </c>
      <c r="I6" s="14" t="s">
        <v>521</v>
      </c>
      <c r="J6" s="52">
        <v>12</v>
      </c>
      <c r="K6" s="52">
        <v>8</v>
      </c>
      <c r="L6" s="52"/>
      <c r="M6" s="56"/>
      <c r="N6" s="52">
        <v>512</v>
      </c>
      <c r="O6" s="54"/>
      <c r="P6" s="52">
        <v>0</v>
      </c>
      <c r="Q6" s="54" t="s">
        <v>434</v>
      </c>
      <c r="R6" s="14" t="s">
        <v>435</v>
      </c>
      <c r="S6" s="14"/>
      <c r="T6" s="14"/>
      <c r="U6" s="57"/>
      <c r="V6" s="57" t="s">
        <v>545</v>
      </c>
      <c r="W6" s="59" t="str">
        <f>IFERROR(IF(Table12[[#This Row],[id_cat_device]]="PC DESKTOP","NA",(Table12[[#This Row],[fcc]]/Table12[[#This Row],[dc]])),"")</f>
        <v/>
      </c>
      <c r="X6" s="60"/>
      <c r="Y6" s="60"/>
      <c r="Z6" s="15" t="s">
        <v>456</v>
      </c>
      <c r="AA6" s="15" t="s">
        <v>456</v>
      </c>
      <c r="AB6" s="14" t="s">
        <v>458</v>
      </c>
      <c r="AC6" s="15" t="s">
        <v>456</v>
      </c>
      <c r="AD6" s="15" t="s">
        <v>456</v>
      </c>
      <c r="AE6" s="52"/>
      <c r="AF6" s="15" t="s">
        <v>456</v>
      </c>
      <c r="AG6" s="15" t="s">
        <v>456</v>
      </c>
      <c r="AH6" s="15" t="s">
        <v>456</v>
      </c>
      <c r="AI6" s="15" t="s">
        <v>456</v>
      </c>
      <c r="AJ6" s="15" t="s">
        <v>456</v>
      </c>
      <c r="AK6" s="15" t="s">
        <v>456</v>
      </c>
      <c r="AL6" s="14" t="s">
        <v>455</v>
      </c>
      <c r="AM6" s="14" t="str">
        <f>IF(OR(Table12[[#This Row],[sub_con]]="CAUTION",Table12[[#This Row],[sub_con]]="POOR"),"BAD","GOOD")</f>
        <v>GOOD</v>
      </c>
      <c r="AN6" s="14" t="s">
        <v>526</v>
      </c>
      <c r="AO6" s="14" t="s">
        <v>530</v>
      </c>
      <c r="AP6" s="14" t="str" cm="1">
        <f t="array" ref="AP6">_xlfn.IFS(
Table12[[#This Row],[sub_con]]="GREAT","KEEP",
Table12[[#This Row],[sub_con]]="NORMAL","UPGRADE",
Table12[[#This Row],[sub_con]]="CAUTION","SERVICE",
Table12[[#This Row],[sub_con]]="POOR","DISPOSE")</f>
        <v>KEEP</v>
      </c>
      <c r="AQ6" s="43" t="s">
        <v>532</v>
      </c>
      <c r="AR6" s="14" t="s">
        <v>278</v>
      </c>
      <c r="AS6" s="14" t="s">
        <v>546</v>
      </c>
      <c r="AT6" s="14" t="s">
        <v>280</v>
      </c>
      <c r="AU6" s="14" t="s">
        <v>533</v>
      </c>
      <c r="AV6" s="14" t="s">
        <v>547</v>
      </c>
      <c r="AW6" s="14" t="s">
        <v>548</v>
      </c>
      <c r="AX6" s="15" t="str">
        <f>IF(Table12[[#This Row],[pic_nip]]&lt;&gt;999999,"IN USE",IF(AND(Table12[[#This Row],[note_loc]]="WAREHOUSE",Table12[[#This Row],[pic_nip]]=999999),"IN STORE","IN-ACTIVE"))</f>
        <v>IN USE</v>
      </c>
      <c r="AY6" s="52">
        <v>250501</v>
      </c>
      <c r="AZ6" s="26" t="s">
        <v>587</v>
      </c>
      <c r="BA6" s="14" t="str">
        <f>IF(COUNTBLANK(Table12[[#This Row],[id_compd]:[id_maintenance]])&gt;0,"VALIDATE [IN PROGRESS]","VALIDATE [DONE]")</f>
        <v>VALIDATE [IN PROGRESS]</v>
      </c>
    </row>
    <row r="7" spans="1:53" x14ac:dyDescent="0.2">
      <c r="A7" s="3"/>
      <c r="B7" s="30" t="s">
        <v>1028</v>
      </c>
      <c r="C7" s="14" t="s">
        <v>507</v>
      </c>
      <c r="D7" s="14" t="s">
        <v>485</v>
      </c>
      <c r="E7" s="14" t="s">
        <v>474</v>
      </c>
      <c r="F7" s="14" t="str">
        <f>_xlfn.IFS(LEFT(Table12[[#This Row],[id_compd]],4)="DT","PC DESKTOP",LEFT(Table12[[#This Row],[id_compd]],4)="LAPT","LAPT")</f>
        <v>LAPT</v>
      </c>
      <c r="G7" s="14" t="s">
        <v>425</v>
      </c>
      <c r="H7" s="14" t="s">
        <v>517</v>
      </c>
      <c r="I7" s="14" t="s">
        <v>522</v>
      </c>
      <c r="J7" s="52">
        <v>13</v>
      </c>
      <c r="K7" s="52">
        <v>32</v>
      </c>
      <c r="L7" s="52" t="s">
        <v>540</v>
      </c>
      <c r="M7" s="56" t="s">
        <v>541</v>
      </c>
      <c r="N7" s="52">
        <v>512</v>
      </c>
      <c r="O7" s="54" t="s">
        <v>542</v>
      </c>
      <c r="P7" s="52">
        <v>0</v>
      </c>
      <c r="Q7" s="54" t="s">
        <v>434</v>
      </c>
      <c r="R7" s="14" t="s">
        <v>435</v>
      </c>
      <c r="S7" s="14" t="s">
        <v>436</v>
      </c>
      <c r="T7" s="14" t="s">
        <v>439</v>
      </c>
      <c r="U7" s="57" t="s">
        <v>539</v>
      </c>
      <c r="V7" s="57" t="s">
        <v>545</v>
      </c>
      <c r="W7" s="59" t="str">
        <f>IFERROR(IF(Table12[[#This Row],[id_cat_device]]="PC DESKTOP","NA",(Table12[[#This Row],[fcc]]/Table12[[#This Row],[dc]])),"")</f>
        <v/>
      </c>
      <c r="X7" s="60"/>
      <c r="Y7" s="60"/>
      <c r="Z7" s="15" t="s">
        <v>456</v>
      </c>
      <c r="AA7" s="15" t="s">
        <v>456</v>
      </c>
      <c r="AB7" s="14" t="s">
        <v>458</v>
      </c>
      <c r="AC7" s="15" t="s">
        <v>456</v>
      </c>
      <c r="AD7" s="15" t="s">
        <v>456</v>
      </c>
      <c r="AE7" s="52"/>
      <c r="AF7" s="15" t="s">
        <v>456</v>
      </c>
      <c r="AG7" s="15" t="s">
        <v>456</v>
      </c>
      <c r="AH7" s="15" t="s">
        <v>456</v>
      </c>
      <c r="AI7" s="15" t="s">
        <v>456</v>
      </c>
      <c r="AJ7" s="15" t="s">
        <v>456</v>
      </c>
      <c r="AK7" s="15" t="s">
        <v>456</v>
      </c>
      <c r="AL7" s="14" t="s">
        <v>455</v>
      </c>
      <c r="AM7" s="14" t="str">
        <f>IF(OR(Table12[[#This Row],[sub_con]]="CAUTION",Table12[[#This Row],[sub_con]]="POOR"),"BAD","GOOD")</f>
        <v>GOOD</v>
      </c>
      <c r="AN7" s="14" t="s">
        <v>526</v>
      </c>
      <c r="AO7" s="14" t="s">
        <v>530</v>
      </c>
      <c r="AP7" s="14" t="str" cm="1">
        <f t="array" ref="AP7">_xlfn.IFS(
Table12[[#This Row],[sub_con]]="GREAT","KEEP",
Table12[[#This Row],[sub_con]]="NORMAL","UPGRADE",
Table12[[#This Row],[sub_con]]="CAUTION","SERVICE",
Table12[[#This Row],[sub_con]]="POOR","DISPOSE")</f>
        <v>KEEP</v>
      </c>
      <c r="AQ7" s="43" t="s">
        <v>532</v>
      </c>
      <c r="AR7" s="14" t="s">
        <v>278</v>
      </c>
      <c r="AS7" s="14" t="s">
        <v>546</v>
      </c>
      <c r="AT7" s="14" t="s">
        <v>280</v>
      </c>
      <c r="AU7" s="14" t="s">
        <v>280</v>
      </c>
      <c r="AV7" s="14" t="s">
        <v>547</v>
      </c>
      <c r="AW7" s="14" t="s">
        <v>548</v>
      </c>
      <c r="AX7" s="15" t="str">
        <f>IF(Table12[[#This Row],[pic_nip]]&lt;&gt;999999,"IN USE",IF(AND(Table12[[#This Row],[note_loc]]="WAREHOUSE",Table12[[#This Row],[pic_nip]]=999999),"IN STORE","IN-ACTIVE"))</f>
        <v>IN USE</v>
      </c>
      <c r="AY7" s="52">
        <v>240287</v>
      </c>
      <c r="AZ7" s="26" t="s">
        <v>587</v>
      </c>
      <c r="BA7" s="14" t="str">
        <f>IF(COUNTBLANK(Table12[[#This Row],[id_compd]:[id_maintenance]])&gt;0,"VALIDATE [IN PROGRESS]","VALIDATE [DONE]")</f>
        <v>VALIDATE [IN PROGRESS]</v>
      </c>
    </row>
    <row r="8" spans="1:53" x14ac:dyDescent="0.2">
      <c r="A8" s="3"/>
      <c r="B8" s="30" t="s">
        <v>1029</v>
      </c>
      <c r="C8" s="14" t="s">
        <v>421</v>
      </c>
      <c r="D8" s="14" t="s">
        <v>422</v>
      </c>
      <c r="E8" s="14" t="s">
        <v>423</v>
      </c>
      <c r="F8" s="14" t="str">
        <f>_xlfn.IFS(LEFT(Table12[[#This Row],[id_compd]],4)="DT","PC DESKTOP",LEFT(Table12[[#This Row],[id_compd]],4)="LAPT","LAPT")</f>
        <v>LAPT</v>
      </c>
      <c r="G8" s="14" t="s">
        <v>425</v>
      </c>
      <c r="H8" s="14" t="s">
        <v>426</v>
      </c>
      <c r="I8" s="14" t="s">
        <v>427</v>
      </c>
      <c r="J8" s="52">
        <v>13</v>
      </c>
      <c r="K8" s="52">
        <v>16</v>
      </c>
      <c r="L8" s="52" t="s">
        <v>428</v>
      </c>
      <c r="M8" s="56" t="s">
        <v>429</v>
      </c>
      <c r="N8" s="52">
        <v>512</v>
      </c>
      <c r="O8" s="54" t="s">
        <v>544</v>
      </c>
      <c r="P8" s="52">
        <v>0</v>
      </c>
      <c r="Q8" s="54" t="s">
        <v>434</v>
      </c>
      <c r="R8" s="14" t="s">
        <v>435</v>
      </c>
      <c r="S8" s="14" t="s">
        <v>436</v>
      </c>
      <c r="T8" s="14" t="s">
        <v>439</v>
      </c>
      <c r="U8" s="57" t="s">
        <v>437</v>
      </c>
      <c r="V8" s="57" t="s">
        <v>545</v>
      </c>
      <c r="W8" s="59" t="str">
        <f>IFERROR(IF(Table12[[#This Row],[id_cat_device]]="PC DESKTOP","NA",(Table12[[#This Row],[fcc]]/Table12[[#This Row],[dc]])),"")</f>
        <v/>
      </c>
      <c r="X8" s="60"/>
      <c r="Y8" s="60"/>
      <c r="Z8" s="15" t="s">
        <v>456</v>
      </c>
      <c r="AA8" s="15" t="s">
        <v>456</v>
      </c>
      <c r="AB8" s="14" t="s">
        <v>458</v>
      </c>
      <c r="AC8" s="15" t="s">
        <v>456</v>
      </c>
      <c r="AD8" s="15" t="s">
        <v>456</v>
      </c>
      <c r="AE8" s="52"/>
      <c r="AF8" s="15" t="s">
        <v>456</v>
      </c>
      <c r="AG8" s="15" t="s">
        <v>456</v>
      </c>
      <c r="AH8" s="15" t="s">
        <v>456</v>
      </c>
      <c r="AI8" s="15" t="s">
        <v>456</v>
      </c>
      <c r="AJ8" s="15" t="s">
        <v>456</v>
      </c>
      <c r="AK8" s="15" t="s">
        <v>456</v>
      </c>
      <c r="AL8" s="14" t="s">
        <v>455</v>
      </c>
      <c r="AM8" s="14" t="str">
        <f>IF(OR(Table12[[#This Row],[sub_con]]="CAUTION",Table12[[#This Row],[sub_con]]="POOR"),"BAD","GOOD")</f>
        <v>GOOD</v>
      </c>
      <c r="AN8" s="14" t="s">
        <v>526</v>
      </c>
      <c r="AO8" s="14" t="s">
        <v>530</v>
      </c>
      <c r="AP8" s="14" t="str" cm="1">
        <f t="array" ref="AP8">_xlfn.IFS(
Table12[[#This Row],[sub_con]]="GREAT","KEEP",
Table12[[#This Row],[sub_con]]="NORMAL","UPGRADE",
Table12[[#This Row],[sub_con]]="CAUTION","SERVICE",
Table12[[#This Row],[sub_con]]="POOR","DISPOSE")</f>
        <v>KEEP</v>
      </c>
      <c r="AQ8" s="43" t="s">
        <v>532</v>
      </c>
      <c r="AR8" s="14" t="s">
        <v>278</v>
      </c>
      <c r="AS8" s="14" t="s">
        <v>546</v>
      </c>
      <c r="AT8" s="14" t="s">
        <v>280</v>
      </c>
      <c r="AU8" s="14" t="s">
        <v>280</v>
      </c>
      <c r="AV8" s="14" t="s">
        <v>547</v>
      </c>
      <c r="AW8" s="14" t="s">
        <v>548</v>
      </c>
      <c r="AX8" s="15" t="str">
        <f>IF(Table12[[#This Row],[pic_nip]]&lt;&gt;999999,"IN USE",IF(AND(Table12[[#This Row],[note_loc]]="WAREHOUSE",Table12[[#This Row],[pic_nip]]=999999),"IN STORE","IN-ACTIVE"))</f>
        <v>IN USE</v>
      </c>
      <c r="AY8" s="52">
        <v>240763</v>
      </c>
      <c r="AZ8" s="26" t="s">
        <v>587</v>
      </c>
      <c r="BA8" s="14" t="str">
        <f>IF(COUNTBLANK(Table12[[#This Row],[id_compd]:[id_maintenance]])&gt;0,"VALIDATE [IN PROGRESS]","VALIDATE [DONE]")</f>
        <v>VALIDATE [IN PROGRESS]</v>
      </c>
    </row>
    <row r="9" spans="1:53" x14ac:dyDescent="0.2">
      <c r="A9" s="3"/>
      <c r="B9" s="30" t="s">
        <v>1030</v>
      </c>
      <c r="C9" s="14" t="s">
        <v>508</v>
      </c>
      <c r="D9" s="14" t="s">
        <v>486</v>
      </c>
      <c r="E9" s="14" t="s">
        <v>477</v>
      </c>
      <c r="F9" s="14" t="str">
        <f>_xlfn.IFS(LEFT(Table12[[#This Row],[id_compd]],4)="DT","PC DESKTOP",LEFT(Table12[[#This Row],[id_compd]],4)="LAPT","LAPT")</f>
        <v>LAPT</v>
      </c>
      <c r="G9" s="14" t="s">
        <v>425</v>
      </c>
      <c r="H9" s="14" t="s">
        <v>518</v>
      </c>
      <c r="I9" s="14" t="s">
        <v>523</v>
      </c>
      <c r="J9" s="52">
        <v>13</v>
      </c>
      <c r="K9" s="52">
        <v>16</v>
      </c>
      <c r="L9" s="52"/>
      <c r="M9" s="56"/>
      <c r="N9" s="52">
        <v>512</v>
      </c>
      <c r="O9" s="54"/>
      <c r="P9" s="52">
        <v>0</v>
      </c>
      <c r="Q9" s="54" t="s">
        <v>434</v>
      </c>
      <c r="R9" s="14" t="s">
        <v>435</v>
      </c>
      <c r="S9" s="14"/>
      <c r="T9" s="14"/>
      <c r="U9" s="57"/>
      <c r="V9" s="57" t="s">
        <v>545</v>
      </c>
      <c r="W9" s="59" t="str">
        <f>IFERROR(IF(Table12[[#This Row],[id_cat_device]]="PC DESKTOP","NA",(Table12[[#This Row],[fcc]]/Table12[[#This Row],[dc]])),"")</f>
        <v/>
      </c>
      <c r="X9" s="60"/>
      <c r="Y9" s="60"/>
      <c r="Z9" s="15" t="s">
        <v>456</v>
      </c>
      <c r="AA9" s="15" t="s">
        <v>456</v>
      </c>
      <c r="AB9" s="14" t="s">
        <v>458</v>
      </c>
      <c r="AC9" s="15" t="s">
        <v>456</v>
      </c>
      <c r="AD9" s="15" t="s">
        <v>456</v>
      </c>
      <c r="AE9" s="52"/>
      <c r="AF9" s="15" t="s">
        <v>456</v>
      </c>
      <c r="AG9" s="15" t="s">
        <v>456</v>
      </c>
      <c r="AH9" s="15" t="s">
        <v>456</v>
      </c>
      <c r="AI9" s="15" t="s">
        <v>456</v>
      </c>
      <c r="AJ9" s="15" t="s">
        <v>456</v>
      </c>
      <c r="AK9" s="15" t="s">
        <v>456</v>
      </c>
      <c r="AL9" s="14" t="s">
        <v>455</v>
      </c>
      <c r="AM9" s="14" t="str">
        <f>IF(OR(Table12[[#This Row],[sub_con]]="CAUTION",Table12[[#This Row],[sub_con]]="POOR"),"BAD","GOOD")</f>
        <v>GOOD</v>
      </c>
      <c r="AN9" s="14" t="s">
        <v>526</v>
      </c>
      <c r="AO9" s="14" t="s">
        <v>530</v>
      </c>
      <c r="AP9" s="14" t="str" cm="1">
        <f t="array" ref="AP9">_xlfn.IFS(
Table12[[#This Row],[sub_con]]="GREAT","KEEP",
Table12[[#This Row],[sub_con]]="NORMAL","UPGRADE",
Table12[[#This Row],[sub_con]]="CAUTION","SERVICE",
Table12[[#This Row],[sub_con]]="POOR","DISPOSE")</f>
        <v>KEEP</v>
      </c>
      <c r="AQ9" s="43" t="s">
        <v>532</v>
      </c>
      <c r="AR9" s="14" t="s">
        <v>278</v>
      </c>
      <c r="AS9" s="14" t="s">
        <v>546</v>
      </c>
      <c r="AT9" s="14" t="s">
        <v>280</v>
      </c>
      <c r="AU9" s="14" t="s">
        <v>534</v>
      </c>
      <c r="AV9" s="14" t="s">
        <v>547</v>
      </c>
      <c r="AW9" s="14" t="s">
        <v>548</v>
      </c>
      <c r="AX9" s="15" t="str">
        <f>IF(Table12[[#This Row],[pic_nip]]&lt;&gt;999999,"IN USE",IF(AND(Table12[[#This Row],[note_loc]]="WAREHOUSE",Table12[[#This Row],[pic_nip]]=999999),"IN STORE","IN-ACTIVE"))</f>
        <v>IN USE</v>
      </c>
      <c r="AY9" s="52">
        <v>150821</v>
      </c>
      <c r="AZ9" s="26" t="s">
        <v>587</v>
      </c>
      <c r="BA9" s="14" t="str">
        <f>IF(COUNTBLANK(Table12[[#This Row],[id_compd]:[id_maintenance]])&gt;0,"VALIDATE [IN PROGRESS]","VALIDATE [DONE]")</f>
        <v>VALIDATE [IN PROGRESS]</v>
      </c>
    </row>
    <row r="10" spans="1:53" x14ac:dyDescent="0.2">
      <c r="A10" s="3"/>
      <c r="B10" s="30" t="s">
        <v>1031</v>
      </c>
      <c r="C10" s="14" t="s">
        <v>509</v>
      </c>
      <c r="D10" s="14" t="s">
        <v>487</v>
      </c>
      <c r="E10" s="14" t="s">
        <v>478</v>
      </c>
      <c r="F10" s="14" t="str">
        <f>_xlfn.IFS(LEFT(Table12[[#This Row],[id_compd]],4)="DT","PC DESKTOP",LEFT(Table12[[#This Row],[id_compd]],4)="LAPT","LAPT")</f>
        <v>LAPT</v>
      </c>
      <c r="G10" s="14" t="s">
        <v>425</v>
      </c>
      <c r="H10" s="14" t="s">
        <v>518</v>
      </c>
      <c r="I10" s="14" t="s">
        <v>523</v>
      </c>
      <c r="J10" s="52">
        <v>13</v>
      </c>
      <c r="K10" s="52">
        <v>16</v>
      </c>
      <c r="L10" s="52"/>
      <c r="M10" s="56"/>
      <c r="N10" s="52">
        <v>512</v>
      </c>
      <c r="O10" s="54"/>
      <c r="P10" s="52">
        <v>0</v>
      </c>
      <c r="Q10" s="54" t="s">
        <v>434</v>
      </c>
      <c r="R10" s="14" t="s">
        <v>435</v>
      </c>
      <c r="S10" s="14"/>
      <c r="T10" s="14"/>
      <c r="U10" s="57"/>
      <c r="V10" s="57" t="s">
        <v>545</v>
      </c>
      <c r="W10" s="59" t="str">
        <f>IFERROR(IF(Table12[[#This Row],[id_cat_device]]="PC DESKTOP","NA",(Table12[[#This Row],[fcc]]/Table12[[#This Row],[dc]])),"")</f>
        <v/>
      </c>
      <c r="X10" s="60"/>
      <c r="Y10" s="60"/>
      <c r="Z10" s="15" t="s">
        <v>456</v>
      </c>
      <c r="AA10" s="15" t="s">
        <v>456</v>
      </c>
      <c r="AB10" s="14" t="s">
        <v>458</v>
      </c>
      <c r="AC10" s="15" t="s">
        <v>456</v>
      </c>
      <c r="AD10" s="15" t="s">
        <v>456</v>
      </c>
      <c r="AE10" s="52"/>
      <c r="AF10" s="15" t="s">
        <v>456</v>
      </c>
      <c r="AG10" s="15" t="s">
        <v>456</v>
      </c>
      <c r="AH10" s="15" t="s">
        <v>456</v>
      </c>
      <c r="AI10" s="15" t="s">
        <v>456</v>
      </c>
      <c r="AJ10" s="15" t="s">
        <v>456</v>
      </c>
      <c r="AK10" s="15" t="s">
        <v>456</v>
      </c>
      <c r="AL10" s="14" t="s">
        <v>455</v>
      </c>
      <c r="AM10" s="14" t="str">
        <f>IF(OR(Table12[[#This Row],[sub_con]]="CAUTION",Table12[[#This Row],[sub_con]]="POOR"),"BAD","GOOD")</f>
        <v>GOOD</v>
      </c>
      <c r="AN10" s="14" t="s">
        <v>526</v>
      </c>
      <c r="AO10" s="14" t="s">
        <v>530</v>
      </c>
      <c r="AP10" s="14" t="str" cm="1">
        <f t="array" ref="AP10">_xlfn.IFS(
Table12[[#This Row],[sub_con]]="GREAT","KEEP",
Table12[[#This Row],[sub_con]]="NORMAL","UPGRADE",
Table12[[#This Row],[sub_con]]="CAUTION","SERVICE",
Table12[[#This Row],[sub_con]]="POOR","DISPOSE")</f>
        <v>KEEP</v>
      </c>
      <c r="AQ10" s="43" t="s">
        <v>532</v>
      </c>
      <c r="AR10" s="14" t="s">
        <v>278</v>
      </c>
      <c r="AS10" s="14" t="s">
        <v>546</v>
      </c>
      <c r="AT10" s="14" t="s">
        <v>280</v>
      </c>
      <c r="AU10" s="14" t="s">
        <v>280</v>
      </c>
      <c r="AV10" s="14" t="s">
        <v>547</v>
      </c>
      <c r="AW10" s="14" t="s">
        <v>548</v>
      </c>
      <c r="AX10" s="15" t="str">
        <f>IF(Table12[[#This Row],[pic_nip]]&lt;&gt;999999,"IN USE",IF(AND(Table12[[#This Row],[note_loc]]="WAREHOUSE",Table12[[#This Row],[pic_nip]]=999999),"IN STORE","IN-ACTIVE"))</f>
        <v>IN USE</v>
      </c>
      <c r="AY10" s="52">
        <v>241681</v>
      </c>
      <c r="AZ10" s="26" t="s">
        <v>587</v>
      </c>
      <c r="BA10" s="14" t="str">
        <f>IF(COUNTBLANK(Table12[[#This Row],[id_compd]:[id_maintenance]])&gt;0,"VALIDATE [IN PROGRESS]","VALIDATE [DONE]")</f>
        <v>VALIDATE [IN PROGRESS]</v>
      </c>
    </row>
    <row r="11" spans="1:53" x14ac:dyDescent="0.2">
      <c r="A11" s="3"/>
      <c r="B11" s="30" t="s">
        <v>1032</v>
      </c>
      <c r="C11" s="14" t="s">
        <v>510</v>
      </c>
      <c r="D11" s="14" t="s">
        <v>488</v>
      </c>
      <c r="E11" s="14" t="s">
        <v>479</v>
      </c>
      <c r="F11" s="14" t="str">
        <f>_xlfn.IFS(LEFT(Table12[[#This Row],[id_compd]],4)="DT","PC DESKTOP",LEFT(Table12[[#This Row],[id_compd]],4)="LAPT","LAPT")</f>
        <v>LAPT</v>
      </c>
      <c r="G11" s="14" t="s">
        <v>425</v>
      </c>
      <c r="H11" s="14" t="s">
        <v>518</v>
      </c>
      <c r="I11" s="14" t="s">
        <v>523</v>
      </c>
      <c r="J11" s="52">
        <v>13</v>
      </c>
      <c r="K11" s="52">
        <v>16</v>
      </c>
      <c r="L11" s="52"/>
      <c r="M11" s="56"/>
      <c r="N11" s="52">
        <v>512</v>
      </c>
      <c r="O11" s="54"/>
      <c r="P11" s="52">
        <v>0</v>
      </c>
      <c r="Q11" s="54" t="s">
        <v>434</v>
      </c>
      <c r="R11" s="14" t="s">
        <v>435</v>
      </c>
      <c r="S11" s="14"/>
      <c r="T11" s="14"/>
      <c r="U11" s="57"/>
      <c r="V11" s="57" t="s">
        <v>545</v>
      </c>
      <c r="W11" s="59" t="str">
        <f>IFERROR(IF(Table12[[#This Row],[id_cat_device]]="PC DESKTOP","NA",(Table12[[#This Row],[fcc]]/Table12[[#This Row],[dc]])),"")</f>
        <v/>
      </c>
      <c r="X11" s="60"/>
      <c r="Y11" s="60"/>
      <c r="Z11" s="15" t="s">
        <v>456</v>
      </c>
      <c r="AA11" s="15" t="s">
        <v>456</v>
      </c>
      <c r="AB11" s="14" t="s">
        <v>458</v>
      </c>
      <c r="AC11" s="15" t="s">
        <v>456</v>
      </c>
      <c r="AD11" s="15" t="s">
        <v>456</v>
      </c>
      <c r="AE11" s="52"/>
      <c r="AF11" s="15" t="s">
        <v>456</v>
      </c>
      <c r="AG11" s="15" t="s">
        <v>456</v>
      </c>
      <c r="AH11" s="15" t="s">
        <v>456</v>
      </c>
      <c r="AI11" s="15" t="s">
        <v>456</v>
      </c>
      <c r="AJ11" s="15" t="s">
        <v>456</v>
      </c>
      <c r="AK11" s="15" t="s">
        <v>456</v>
      </c>
      <c r="AL11" s="14" t="s">
        <v>455</v>
      </c>
      <c r="AM11" s="14" t="str">
        <f>IF(OR(Table12[[#This Row],[sub_con]]="CAUTION",Table12[[#This Row],[sub_con]]="POOR"),"BAD","GOOD")</f>
        <v>GOOD</v>
      </c>
      <c r="AN11" s="14" t="s">
        <v>526</v>
      </c>
      <c r="AO11" s="14" t="s">
        <v>530</v>
      </c>
      <c r="AP11" s="14" t="str" cm="1">
        <f t="array" ref="AP11">_xlfn.IFS(
Table12[[#This Row],[sub_con]]="GREAT","KEEP",
Table12[[#This Row],[sub_con]]="NORMAL","UPGRADE",
Table12[[#This Row],[sub_con]]="CAUTION","SERVICE",
Table12[[#This Row],[sub_con]]="POOR","DISPOSE")</f>
        <v>KEEP</v>
      </c>
      <c r="AQ11" s="43" t="s">
        <v>532</v>
      </c>
      <c r="AR11" s="14" t="s">
        <v>278</v>
      </c>
      <c r="AS11" s="14" t="s">
        <v>546</v>
      </c>
      <c r="AT11" s="14" t="s">
        <v>280</v>
      </c>
      <c r="AU11" s="14" t="s">
        <v>280</v>
      </c>
      <c r="AV11" s="14" t="s">
        <v>547</v>
      </c>
      <c r="AW11" s="14" t="s">
        <v>548</v>
      </c>
      <c r="AX11" s="15" t="str">
        <f>IF(Table12[[#This Row],[pic_nip]]&lt;&gt;999999,"IN USE",IF(AND(Table12[[#This Row],[note_loc]]="WAREHOUSE",Table12[[#This Row],[pic_nip]]=999999),"IN STORE","IN-ACTIVE"))</f>
        <v>IN USE</v>
      </c>
      <c r="AY11" s="52">
        <v>241815</v>
      </c>
      <c r="AZ11" s="26" t="s">
        <v>587</v>
      </c>
      <c r="BA11" s="14" t="str">
        <f>IF(COUNTBLANK(Table12[[#This Row],[id_compd]:[id_maintenance]])&gt;0,"VALIDATE [IN PROGRESS]","VALIDATE [DONE]")</f>
        <v>VALIDATE [IN PROGRESS]</v>
      </c>
    </row>
    <row r="12" spans="1:53" x14ac:dyDescent="0.2">
      <c r="A12" s="3"/>
      <c r="B12" s="30" t="s">
        <v>1033</v>
      </c>
      <c r="C12" s="14" t="s">
        <v>511</v>
      </c>
      <c r="D12" s="14" t="s">
        <v>489</v>
      </c>
      <c r="E12" s="14" t="s">
        <v>480</v>
      </c>
      <c r="F12" s="14" t="str">
        <f>_xlfn.IFS(LEFT(Table12[[#This Row],[id_compd]],4)="DT","PC DESKTOP",LEFT(Table12[[#This Row],[id_compd]],4)="LAPT","LAPT")</f>
        <v>LAPT</v>
      </c>
      <c r="G12" s="14" t="s">
        <v>425</v>
      </c>
      <c r="H12" s="14" t="s">
        <v>518</v>
      </c>
      <c r="I12" s="14" t="s">
        <v>523</v>
      </c>
      <c r="J12" s="52">
        <v>13</v>
      </c>
      <c r="K12" s="52">
        <v>16</v>
      </c>
      <c r="L12" s="52"/>
      <c r="M12" s="56"/>
      <c r="N12" s="52">
        <v>512</v>
      </c>
      <c r="O12" s="54"/>
      <c r="P12" s="52">
        <v>0</v>
      </c>
      <c r="Q12" s="54" t="s">
        <v>434</v>
      </c>
      <c r="R12" s="14" t="s">
        <v>435</v>
      </c>
      <c r="S12" s="14"/>
      <c r="T12" s="14"/>
      <c r="U12" s="57"/>
      <c r="V12" s="57" t="s">
        <v>545</v>
      </c>
      <c r="W12" s="59" t="str">
        <f>IFERROR(IF(Table12[[#This Row],[id_cat_device]]="PC DESKTOP","NA",(Table12[[#This Row],[fcc]]/Table12[[#This Row],[dc]])),"")</f>
        <v/>
      </c>
      <c r="X12" s="60"/>
      <c r="Y12" s="60"/>
      <c r="Z12" s="15" t="s">
        <v>456</v>
      </c>
      <c r="AA12" s="15" t="s">
        <v>456</v>
      </c>
      <c r="AB12" s="14" t="s">
        <v>458</v>
      </c>
      <c r="AC12" s="15" t="s">
        <v>456</v>
      </c>
      <c r="AD12" s="15" t="s">
        <v>456</v>
      </c>
      <c r="AE12" s="52"/>
      <c r="AF12" s="15" t="s">
        <v>456</v>
      </c>
      <c r="AG12" s="15" t="s">
        <v>456</v>
      </c>
      <c r="AH12" s="15" t="s">
        <v>456</v>
      </c>
      <c r="AI12" s="15" t="s">
        <v>456</v>
      </c>
      <c r="AJ12" s="15" t="s">
        <v>456</v>
      </c>
      <c r="AK12" s="15" t="s">
        <v>456</v>
      </c>
      <c r="AL12" s="14" t="s">
        <v>455</v>
      </c>
      <c r="AM12" s="14" t="str">
        <f>IF(OR(Table12[[#This Row],[sub_con]]="CAUTION",Table12[[#This Row],[sub_con]]="POOR"),"BAD","GOOD")</f>
        <v>GOOD</v>
      </c>
      <c r="AN12" s="14" t="s">
        <v>526</v>
      </c>
      <c r="AO12" s="14" t="s">
        <v>530</v>
      </c>
      <c r="AP12" s="14" t="str" cm="1">
        <f t="array" ref="AP12">_xlfn.IFS(
Table12[[#This Row],[sub_con]]="GREAT","KEEP",
Table12[[#This Row],[sub_con]]="NORMAL","UPGRADE",
Table12[[#This Row],[sub_con]]="CAUTION","SERVICE",
Table12[[#This Row],[sub_con]]="POOR","DISPOSE")</f>
        <v>KEEP</v>
      </c>
      <c r="AQ12" s="43" t="s">
        <v>532</v>
      </c>
      <c r="AR12" s="14" t="s">
        <v>278</v>
      </c>
      <c r="AS12" s="14" t="s">
        <v>546</v>
      </c>
      <c r="AT12" s="14" t="s">
        <v>280</v>
      </c>
      <c r="AU12" s="14" t="s">
        <v>280</v>
      </c>
      <c r="AV12" s="14" t="s">
        <v>547</v>
      </c>
      <c r="AW12" s="14" t="s">
        <v>548</v>
      </c>
      <c r="AX12" s="15" t="str">
        <f>IF(Table12[[#This Row],[pic_nip]]&lt;&gt;999999,"IN USE",IF(AND(Table12[[#This Row],[note_loc]]="WAREHOUSE",Table12[[#This Row],[pic_nip]]=999999),"IN STORE","IN-ACTIVE"))</f>
        <v>IN USE</v>
      </c>
      <c r="AY12" s="52">
        <v>180362</v>
      </c>
      <c r="AZ12" s="26" t="s">
        <v>587</v>
      </c>
      <c r="BA12" s="14" t="str">
        <f>IF(COUNTBLANK(Table12[[#This Row],[id_compd]:[id_maintenance]])&gt;0,"VALIDATE [IN PROGRESS]","VALIDATE [DONE]")</f>
        <v>VALIDATE [IN PROGRESS]</v>
      </c>
    </row>
    <row r="13" spans="1:53" x14ac:dyDescent="0.2">
      <c r="A13" s="3"/>
      <c r="B13" s="30" t="s">
        <v>1034</v>
      </c>
      <c r="C13" s="14" t="s">
        <v>512</v>
      </c>
      <c r="D13" s="14" t="s">
        <v>490</v>
      </c>
      <c r="E13" s="14" t="s">
        <v>481</v>
      </c>
      <c r="F13" s="14" t="str">
        <f>_xlfn.IFS(LEFT(Table12[[#This Row],[id_compd]],4)="DT","PC DESKTOP",LEFT(Table12[[#This Row],[id_compd]],4)="LAPT","LAPT")</f>
        <v>LAPT</v>
      </c>
      <c r="G13" s="14" t="s">
        <v>425</v>
      </c>
      <c r="H13" s="14" t="s">
        <v>518</v>
      </c>
      <c r="I13" s="14" t="s">
        <v>523</v>
      </c>
      <c r="J13" s="52">
        <v>13</v>
      </c>
      <c r="K13" s="52">
        <v>16</v>
      </c>
      <c r="L13" s="52"/>
      <c r="M13" s="56"/>
      <c r="N13" s="52">
        <v>512</v>
      </c>
      <c r="O13" s="54"/>
      <c r="P13" s="52">
        <v>0</v>
      </c>
      <c r="Q13" s="54" t="s">
        <v>434</v>
      </c>
      <c r="R13" s="14" t="s">
        <v>435</v>
      </c>
      <c r="S13" s="14"/>
      <c r="T13" s="14"/>
      <c r="U13" s="57"/>
      <c r="V13" s="57" t="s">
        <v>545</v>
      </c>
      <c r="W13" s="59" t="str">
        <f>IFERROR(IF(Table12[[#This Row],[id_cat_device]]="PC DESKTOP","NA",(Table12[[#This Row],[fcc]]/Table12[[#This Row],[dc]])),"")</f>
        <v/>
      </c>
      <c r="X13" s="60"/>
      <c r="Y13" s="60"/>
      <c r="Z13" s="15" t="s">
        <v>456</v>
      </c>
      <c r="AA13" s="15" t="s">
        <v>456</v>
      </c>
      <c r="AB13" s="14" t="s">
        <v>458</v>
      </c>
      <c r="AC13" s="15" t="s">
        <v>456</v>
      </c>
      <c r="AD13" s="15" t="s">
        <v>456</v>
      </c>
      <c r="AE13" s="52"/>
      <c r="AF13" s="15" t="s">
        <v>456</v>
      </c>
      <c r="AG13" s="15" t="s">
        <v>456</v>
      </c>
      <c r="AH13" s="15" t="s">
        <v>456</v>
      </c>
      <c r="AI13" s="15" t="s">
        <v>456</v>
      </c>
      <c r="AJ13" s="15" t="s">
        <v>456</v>
      </c>
      <c r="AK13" s="15" t="s">
        <v>456</v>
      </c>
      <c r="AL13" s="14" t="s">
        <v>455</v>
      </c>
      <c r="AM13" s="14" t="str">
        <f>IF(OR(Table12[[#This Row],[sub_con]]="CAUTION",Table12[[#This Row],[sub_con]]="POOR"),"BAD","GOOD")</f>
        <v>GOOD</v>
      </c>
      <c r="AN13" s="14" t="s">
        <v>526</v>
      </c>
      <c r="AO13" s="14" t="s">
        <v>530</v>
      </c>
      <c r="AP13" s="14" t="str" cm="1">
        <f t="array" ref="AP13">_xlfn.IFS(
Table12[[#This Row],[sub_con]]="GREAT","KEEP",
Table12[[#This Row],[sub_con]]="NORMAL","UPGRADE",
Table12[[#This Row],[sub_con]]="CAUTION","SERVICE",
Table12[[#This Row],[sub_con]]="POOR","DISPOSE")</f>
        <v>KEEP</v>
      </c>
      <c r="AQ13" s="43" t="s">
        <v>532</v>
      </c>
      <c r="AR13" s="14" t="s">
        <v>278</v>
      </c>
      <c r="AS13" s="14" t="s">
        <v>546</v>
      </c>
      <c r="AT13" s="14" t="s">
        <v>280</v>
      </c>
      <c r="AU13" s="14" t="s">
        <v>280</v>
      </c>
      <c r="AV13" s="14" t="s">
        <v>547</v>
      </c>
      <c r="AW13" s="14" t="s">
        <v>548</v>
      </c>
      <c r="AX13" s="15" t="str">
        <f>IF(Table12[[#This Row],[pic_nip]]&lt;&gt;999999,"IN USE",IF(AND(Table12[[#This Row],[note_loc]]="WAREHOUSE",Table12[[#This Row],[pic_nip]]=999999),"IN STORE","IN-ACTIVE"))</f>
        <v>IN USE</v>
      </c>
      <c r="AY13" s="52">
        <v>232054</v>
      </c>
      <c r="AZ13" s="26" t="s">
        <v>587</v>
      </c>
      <c r="BA13" s="14" t="str">
        <f>IF(COUNTBLANK(Table12[[#This Row],[id_compd]:[id_maintenance]])&gt;0,"VALIDATE [IN PROGRESS]","VALIDATE [DONE]")</f>
        <v>VALIDATE [IN PROGRESS]</v>
      </c>
    </row>
    <row r="14" spans="1:53" x14ac:dyDescent="0.2">
      <c r="A14" s="3"/>
      <c r="B14" s="30" t="s">
        <v>1035</v>
      </c>
      <c r="C14" s="14" t="s">
        <v>552</v>
      </c>
      <c r="D14" s="14" t="s">
        <v>491</v>
      </c>
      <c r="E14" s="14" t="s">
        <v>470</v>
      </c>
      <c r="F14" s="14" t="str">
        <f>_xlfn.IFS(LEFT(Table12[[#This Row],[id_compd]],4)="DT","PC DESKTOP",LEFT(Table12[[#This Row],[id_compd]],4)="LAPT","LAPT")</f>
        <v>LAPT</v>
      </c>
      <c r="G14" s="14" t="s">
        <v>425</v>
      </c>
      <c r="H14" s="14" t="s">
        <v>518</v>
      </c>
      <c r="I14" s="14" t="s">
        <v>523</v>
      </c>
      <c r="J14" s="52">
        <v>13</v>
      </c>
      <c r="K14" s="52">
        <v>16</v>
      </c>
      <c r="L14" s="52" t="s">
        <v>540</v>
      </c>
      <c r="M14" s="56" t="s">
        <v>550</v>
      </c>
      <c r="N14" s="52">
        <v>512</v>
      </c>
      <c r="O14" s="54" t="s">
        <v>551</v>
      </c>
      <c r="P14" s="52">
        <v>0</v>
      </c>
      <c r="Q14" s="54" t="s">
        <v>434</v>
      </c>
      <c r="R14" s="14" t="s">
        <v>435</v>
      </c>
      <c r="S14" s="14" t="s">
        <v>436</v>
      </c>
      <c r="T14" s="14" t="s">
        <v>439</v>
      </c>
      <c r="U14" s="57" t="s">
        <v>549</v>
      </c>
      <c r="V14" s="57" t="s">
        <v>553</v>
      </c>
      <c r="W14" s="59">
        <f>IFERROR(IF(Table12[[#This Row],[id_cat_device]]="PC DESKTOP","NA",(Table12[[#This Row],[fcc]]/Table12[[#This Row],[dc]])),"")</f>
        <v>0.75384245027961927</v>
      </c>
      <c r="X14" s="60">
        <v>54002</v>
      </c>
      <c r="Y14" s="60">
        <v>40709</v>
      </c>
      <c r="Z14" s="15" t="s">
        <v>456</v>
      </c>
      <c r="AA14" s="15" t="s">
        <v>456</v>
      </c>
      <c r="AB14" s="14" t="s">
        <v>458</v>
      </c>
      <c r="AC14" s="15" t="s">
        <v>456</v>
      </c>
      <c r="AD14" s="15" t="s">
        <v>456</v>
      </c>
      <c r="AE14" s="52" t="s">
        <v>554</v>
      </c>
      <c r="AF14" s="15" t="s">
        <v>456</v>
      </c>
      <c r="AG14" s="15" t="s">
        <v>456</v>
      </c>
      <c r="AH14" s="15" t="s">
        <v>456</v>
      </c>
      <c r="AI14" s="15" t="s">
        <v>456</v>
      </c>
      <c r="AJ14" s="15" t="s">
        <v>456</v>
      </c>
      <c r="AK14" s="15" t="s">
        <v>456</v>
      </c>
      <c r="AL14" s="14" t="s">
        <v>455</v>
      </c>
      <c r="AM14" s="14" t="str">
        <f>IF(OR(Table12[[#This Row],[sub_con]]="CAUTION",Table12[[#This Row],[sub_con]]="POOR"),"BAD","GOOD")</f>
        <v>GOOD</v>
      </c>
      <c r="AN14" s="14" t="s">
        <v>526</v>
      </c>
      <c r="AO14" s="14" t="s">
        <v>530</v>
      </c>
      <c r="AP14" s="14" t="str" cm="1">
        <f t="array" ref="AP14">_xlfn.IFS(
Table12[[#This Row],[sub_con]]="GREAT","KEEP",
Table12[[#This Row],[sub_con]]="NORMAL","UPGRADE",
Table12[[#This Row],[sub_con]]="CAUTION","SERVICE",
Table12[[#This Row],[sub_con]]="POOR","DISPOSE")</f>
        <v>KEEP</v>
      </c>
      <c r="AQ14" s="43" t="s">
        <v>532</v>
      </c>
      <c r="AR14" s="14" t="s">
        <v>278</v>
      </c>
      <c r="AS14" s="14" t="s">
        <v>546</v>
      </c>
      <c r="AT14" s="14" t="s">
        <v>280</v>
      </c>
      <c r="AU14" s="14" t="s">
        <v>280</v>
      </c>
      <c r="AV14" s="14" t="s">
        <v>547</v>
      </c>
      <c r="AW14" s="14" t="s">
        <v>548</v>
      </c>
      <c r="AX14" s="15" t="str">
        <f>IF(Table12[[#This Row],[pic_nip]]&lt;&gt;999999,"IN USE",IF(AND(Table12[[#This Row],[note_loc]]="WAREHOUSE",Table12[[#This Row],[pic_nip]]=999999),"IN STORE","IN-ACTIVE"))</f>
        <v>IN USE</v>
      </c>
      <c r="AY14" s="52">
        <v>240025</v>
      </c>
      <c r="AZ14" s="26" t="s">
        <v>587</v>
      </c>
      <c r="BA14" s="14" t="str">
        <f>IF(COUNTBLANK(Table12[[#This Row],[id_compd]:[id_maintenance]])&gt;0,"VALIDATE [IN PROGRESS]","VALIDATE [DONE]")</f>
        <v>VALIDATE [DONE]</v>
      </c>
    </row>
    <row r="15" spans="1:53" x14ac:dyDescent="0.2">
      <c r="A15" s="3"/>
      <c r="B15" s="30" t="s">
        <v>1036</v>
      </c>
      <c r="C15" s="14" t="s">
        <v>513</v>
      </c>
      <c r="D15" s="14" t="s">
        <v>492</v>
      </c>
      <c r="E15" s="14" t="s">
        <v>482</v>
      </c>
      <c r="F15" s="14" t="str">
        <f>_xlfn.IFS(LEFT(Table12[[#This Row],[id_compd]],4)="DT","PC DESKTOP",LEFT(Table12[[#This Row],[id_compd]],4)="LAPT","LAPT")</f>
        <v>LAPT</v>
      </c>
      <c r="G15" s="14" t="s">
        <v>425</v>
      </c>
      <c r="H15" s="14" t="s">
        <v>518</v>
      </c>
      <c r="I15" s="14" t="s">
        <v>523</v>
      </c>
      <c r="J15" s="52">
        <v>13</v>
      </c>
      <c r="K15" s="52">
        <v>16</v>
      </c>
      <c r="L15" s="52"/>
      <c r="M15" s="56"/>
      <c r="N15" s="52">
        <v>512</v>
      </c>
      <c r="O15" s="54"/>
      <c r="P15" s="52">
        <v>0</v>
      </c>
      <c r="Q15" s="54" t="s">
        <v>434</v>
      </c>
      <c r="R15" s="14" t="s">
        <v>435</v>
      </c>
      <c r="S15" s="14"/>
      <c r="T15" s="14"/>
      <c r="U15" s="57"/>
      <c r="V15" s="57" t="s">
        <v>545</v>
      </c>
      <c r="W15" s="59" t="str">
        <f>IFERROR(IF(Table12[[#This Row],[id_cat_device]]="PC DESKTOP","NA",(Table12[[#This Row],[fcc]]/Table12[[#This Row],[dc]])),"")</f>
        <v/>
      </c>
      <c r="X15" s="60"/>
      <c r="Y15" s="60"/>
      <c r="Z15" s="15" t="s">
        <v>456</v>
      </c>
      <c r="AA15" s="15" t="s">
        <v>456</v>
      </c>
      <c r="AB15" s="14" t="s">
        <v>458</v>
      </c>
      <c r="AC15" s="15" t="s">
        <v>456</v>
      </c>
      <c r="AD15" s="15" t="s">
        <v>456</v>
      </c>
      <c r="AE15" s="52"/>
      <c r="AF15" s="15" t="s">
        <v>456</v>
      </c>
      <c r="AG15" s="15" t="s">
        <v>456</v>
      </c>
      <c r="AH15" s="15" t="s">
        <v>456</v>
      </c>
      <c r="AI15" s="15" t="s">
        <v>456</v>
      </c>
      <c r="AJ15" s="15" t="s">
        <v>456</v>
      </c>
      <c r="AK15" s="15" t="s">
        <v>456</v>
      </c>
      <c r="AL15" s="14" t="s">
        <v>455</v>
      </c>
      <c r="AM15" s="14" t="str">
        <f>IF(OR(Table12[[#This Row],[sub_con]]="CAUTION",Table12[[#This Row],[sub_con]]="POOR"),"BAD","GOOD")</f>
        <v>GOOD</v>
      </c>
      <c r="AN15" s="14" t="s">
        <v>526</v>
      </c>
      <c r="AO15" s="14" t="s">
        <v>530</v>
      </c>
      <c r="AP15" s="14" t="str" cm="1">
        <f t="array" ref="AP15">_xlfn.IFS(
Table12[[#This Row],[sub_con]]="GREAT","KEEP",
Table12[[#This Row],[sub_con]]="NORMAL","UPGRADE",
Table12[[#This Row],[sub_con]]="CAUTION","SERVICE",
Table12[[#This Row],[sub_con]]="POOR","DISPOSE")</f>
        <v>KEEP</v>
      </c>
      <c r="AQ15" s="43" t="s">
        <v>532</v>
      </c>
      <c r="AR15" s="14" t="s">
        <v>278</v>
      </c>
      <c r="AS15" s="14" t="s">
        <v>546</v>
      </c>
      <c r="AT15" s="14" t="s">
        <v>280</v>
      </c>
      <c r="AU15" s="14" t="s">
        <v>280</v>
      </c>
      <c r="AV15" s="14" t="s">
        <v>547</v>
      </c>
      <c r="AW15" s="14" t="s">
        <v>548</v>
      </c>
      <c r="AX15" s="15" t="str">
        <f>IF(Table12[[#This Row],[pic_nip]]&lt;&gt;999999,"IN USE",IF(AND(Table12[[#This Row],[note_loc]]="WAREHOUSE",Table12[[#This Row],[pic_nip]]=999999),"IN STORE","IN-ACTIVE"))</f>
        <v>IN USE</v>
      </c>
      <c r="AY15" s="52">
        <v>231399</v>
      </c>
      <c r="AZ15" s="26" t="s">
        <v>587</v>
      </c>
      <c r="BA15" s="14" t="str">
        <f>IF(COUNTBLANK(Table12[[#This Row],[id_compd]:[id_maintenance]])&gt;0,"VALIDATE [IN PROGRESS]","VALIDATE [DONE]")</f>
        <v>VALIDATE [IN PROGRESS]</v>
      </c>
    </row>
    <row r="16" spans="1:53" x14ac:dyDescent="0.2">
      <c r="A16" s="3"/>
      <c r="B16" s="30" t="s">
        <v>1026</v>
      </c>
      <c r="C16" s="27" t="s">
        <v>514</v>
      </c>
      <c r="D16" s="27" t="s">
        <v>493</v>
      </c>
      <c r="E16" s="51" t="s">
        <v>619</v>
      </c>
      <c r="F16" s="27" t="e">
        <f>_xlfn.IFS(LEFT(Table12[[#This Row],[id_compd]],4)="DT","PC DESKTOP",LEFT(Table12[[#This Row],[id_compd]],4)="LAPT","LAPT")</f>
        <v>#N/A</v>
      </c>
      <c r="G16" s="14" t="s">
        <v>425</v>
      </c>
      <c r="H16" s="27" t="s">
        <v>519</v>
      </c>
      <c r="I16" s="27" t="s">
        <v>520</v>
      </c>
      <c r="J16" s="53">
        <v>8</v>
      </c>
      <c r="K16" s="53">
        <v>4</v>
      </c>
      <c r="L16" s="52"/>
      <c r="M16" s="56"/>
      <c r="N16" s="53">
        <v>0</v>
      </c>
      <c r="O16" s="54" t="s">
        <v>434</v>
      </c>
      <c r="P16" s="53">
        <v>1000</v>
      </c>
      <c r="Q16" s="54" t="s">
        <v>524</v>
      </c>
      <c r="R16" s="14" t="s">
        <v>435</v>
      </c>
      <c r="S16" s="14"/>
      <c r="T16" s="14"/>
      <c r="U16" s="57"/>
      <c r="V16" s="57" t="s">
        <v>545</v>
      </c>
      <c r="W16" s="61" t="str">
        <f>IFERROR(IF(Table12[[#This Row],[id_cat_device]]="PC DESKTOP","NA",(Table12[[#This Row],[fcc]]/Table12[[#This Row],[dc]])),"")</f>
        <v/>
      </c>
      <c r="X16" s="60">
        <v>0</v>
      </c>
      <c r="Y16" s="60">
        <v>0</v>
      </c>
      <c r="Z16" s="15" t="s">
        <v>456</v>
      </c>
      <c r="AA16" s="15" t="s">
        <v>434</v>
      </c>
      <c r="AB16" s="14" t="s">
        <v>458</v>
      </c>
      <c r="AC16" s="15" t="s">
        <v>434</v>
      </c>
      <c r="AD16" s="15" t="s">
        <v>434</v>
      </c>
      <c r="AE16" s="52"/>
      <c r="AF16" s="15" t="s">
        <v>456</v>
      </c>
      <c r="AG16" s="15" t="s">
        <v>456</v>
      </c>
      <c r="AH16" s="15" t="s">
        <v>434</v>
      </c>
      <c r="AI16" s="15" t="s">
        <v>434</v>
      </c>
      <c r="AJ16" s="15" t="s">
        <v>434</v>
      </c>
      <c r="AK16" s="15" t="s">
        <v>434</v>
      </c>
      <c r="AL16" s="14" t="s">
        <v>455</v>
      </c>
      <c r="AM16" s="27" t="str">
        <f>IF(OR(Table12[[#This Row],[sub_con]]="CAUTION",Table12[[#This Row],[sub_con]]="POOR"),"BAD","GOOD")</f>
        <v>BAD</v>
      </c>
      <c r="AN16" s="27" t="s">
        <v>527</v>
      </c>
      <c r="AO16" s="27" t="s">
        <v>529</v>
      </c>
      <c r="AP16" s="27" t="str" cm="1">
        <f t="array" ref="AP16">_xlfn.IFS(
Table12[[#This Row],[sub_con]]="GREAT","KEEP",
Table12[[#This Row],[sub_con]]="NORMAL","UPGRADE",
Table12[[#This Row],[sub_con]]="CAUTION","SERVICE",
Table12[[#This Row],[sub_con]]="POOR","DISPOSE")</f>
        <v>DISPOSE</v>
      </c>
      <c r="AQ16" s="44" t="s">
        <v>532</v>
      </c>
      <c r="AR16" s="14" t="s">
        <v>278</v>
      </c>
      <c r="AS16" s="14" t="s">
        <v>536</v>
      </c>
      <c r="AT16" s="27" t="s">
        <v>537</v>
      </c>
      <c r="AU16" s="27" t="s">
        <v>280</v>
      </c>
      <c r="AV16" s="27" t="s">
        <v>255</v>
      </c>
      <c r="AW16" s="27" t="s">
        <v>535</v>
      </c>
      <c r="AX16" s="32" t="str">
        <f>IF(Table12[[#This Row],[pic_nip]]&lt;&gt;999999,"IN USE",IF(AND(Table12[[#This Row],[note_loc]]="WAREHOUSE",Table12[[#This Row],[pic_nip]]=999999),"IN STORE","IN-ACTIVE"))</f>
        <v>IN USE</v>
      </c>
      <c r="AY16" s="53">
        <v>220909</v>
      </c>
      <c r="AZ16" s="26" t="s">
        <v>587</v>
      </c>
      <c r="BA16" s="27" t="str">
        <f>IF(COUNTBLANK(Table12[[#This Row],[id_compd]:[id_maintenance]])&gt;0,"VALIDATE [IN PROGRESS]","VALIDATE [DONE]")</f>
        <v>VALIDATE [IN PROGRESS]</v>
      </c>
    </row>
    <row r="17" spans="1:53" x14ac:dyDescent="0.2">
      <c r="A17" s="3"/>
      <c r="B17" s="30" t="s">
        <v>1037</v>
      </c>
      <c r="C17" s="27" t="s">
        <v>605</v>
      </c>
      <c r="D17" s="27" t="s">
        <v>606</v>
      </c>
      <c r="E17" s="27" t="s">
        <v>607</v>
      </c>
      <c r="F17" s="27" t="str">
        <f>_xlfn.IFS(LEFT(Table12[[#This Row],[id_compd]],4)="DT","PC DESKTOP",LEFT(Table12[[#This Row],[id_compd]],4)="LAPT","LAPT")</f>
        <v>LAPT</v>
      </c>
      <c r="G17" s="27" t="s">
        <v>425</v>
      </c>
      <c r="H17" s="27" t="s">
        <v>608</v>
      </c>
      <c r="I17" s="27" t="s">
        <v>609</v>
      </c>
      <c r="J17" s="53">
        <v>8</v>
      </c>
      <c r="K17" s="53">
        <v>8</v>
      </c>
      <c r="L17" s="53" t="s">
        <v>428</v>
      </c>
      <c r="M17" s="56" t="s">
        <v>629</v>
      </c>
      <c r="N17" s="53">
        <v>256</v>
      </c>
      <c r="O17" s="55" t="s">
        <v>628</v>
      </c>
      <c r="P17" s="53">
        <v>0</v>
      </c>
      <c r="Q17" s="55" t="s">
        <v>434</v>
      </c>
      <c r="R17" s="27" t="s">
        <v>435</v>
      </c>
      <c r="S17" s="27" t="s">
        <v>436</v>
      </c>
      <c r="T17" s="27" t="s">
        <v>439</v>
      </c>
      <c r="U17" s="58" t="s">
        <v>630</v>
      </c>
      <c r="V17" s="58" t="s">
        <v>545</v>
      </c>
      <c r="W17" s="61">
        <f>IFERROR(IF(Table12[[#This Row],[id_cat_device]]="PC DESKTOP","NA",(Table12[[#This Row],[fcc]]/Table12[[#This Row],[dc]])),"")</f>
        <v>0.14495928377541789</v>
      </c>
      <c r="X17" s="62">
        <v>41998</v>
      </c>
      <c r="Y17" s="62">
        <v>6088</v>
      </c>
      <c r="Z17" s="32" t="s">
        <v>456</v>
      </c>
      <c r="AA17" s="32" t="s">
        <v>456</v>
      </c>
      <c r="AB17" s="27" t="s">
        <v>458</v>
      </c>
      <c r="AC17" s="32" t="s">
        <v>456</v>
      </c>
      <c r="AD17" s="32" t="s">
        <v>456</v>
      </c>
      <c r="AE17" s="52" t="s">
        <v>631</v>
      </c>
      <c r="AF17" s="32" t="s">
        <v>456</v>
      </c>
      <c r="AG17" s="32" t="s">
        <v>456</v>
      </c>
      <c r="AH17" s="32" t="s">
        <v>456</v>
      </c>
      <c r="AI17" s="32" t="s">
        <v>456</v>
      </c>
      <c r="AJ17" s="32" t="s">
        <v>456</v>
      </c>
      <c r="AK17" s="32" t="s">
        <v>456</v>
      </c>
      <c r="AL17" s="27" t="s">
        <v>455</v>
      </c>
      <c r="AM17" s="27" t="str">
        <f>IF(OR(Table12[[#This Row],[sub_con]]="CAUTION",Table12[[#This Row],[sub_con]]="POOR"),"BAD","GOOD")</f>
        <v>BAD</v>
      </c>
      <c r="AN17" s="27" t="s">
        <v>610</v>
      </c>
      <c r="AO17" s="27" t="s">
        <v>611</v>
      </c>
      <c r="AP17" s="27" t="str" cm="1">
        <f t="array" ref="AP17">_xlfn.IFS(
Table12[[#This Row],[sub_con]]="GREAT","KEEP",
Table12[[#This Row],[sub_con]]="NORMAL","UPGRADE",
Table12[[#This Row],[sub_con]]="CAUTION","SERVICE",
Table12[[#This Row],[sub_con]]="POOR","DISPOSE")</f>
        <v>SERVICE</v>
      </c>
      <c r="AQ17" s="44" t="s">
        <v>613</v>
      </c>
      <c r="AR17" s="27" t="s">
        <v>632</v>
      </c>
      <c r="AS17" s="27" t="s">
        <v>546</v>
      </c>
      <c r="AT17" s="27" t="s">
        <v>280</v>
      </c>
      <c r="AU17" s="27" t="s">
        <v>280</v>
      </c>
      <c r="AV17" s="27" t="s">
        <v>379</v>
      </c>
      <c r="AW17" s="27" t="s">
        <v>614</v>
      </c>
      <c r="AX17" s="32" t="str">
        <f>IF(Table12[[#This Row],[pic_nip]]&lt;&gt;999999,"IN USE",IF(AND(Table12[[#This Row],[note_loc]]="WAREHOUSE",Table12[[#This Row],[pic_nip]]=999999),"IN STORE","IN-ACTIVE"))</f>
        <v>IN STORE</v>
      </c>
      <c r="AY17" s="53">
        <v>999999</v>
      </c>
      <c r="AZ17" s="26" t="s">
        <v>587</v>
      </c>
      <c r="BA17" s="27" t="str">
        <f>IF(COUNTBLANK(Table12[[#This Row],[id_compd]:[id_maintenance]])&gt;0,"VALIDATE [IN PROGRESS]","VALIDATE [DONE]")</f>
        <v>VALIDATE [DONE]</v>
      </c>
    </row>
    <row r="18" spans="1:53" x14ac:dyDescent="0.2">
      <c r="A18" s="3"/>
      <c r="B18" s="30" t="s">
        <v>1038</v>
      </c>
      <c r="C18" s="27" t="s">
        <v>621</v>
      </c>
      <c r="D18" s="27" t="s">
        <v>622</v>
      </c>
      <c r="E18" s="27" t="s">
        <v>623</v>
      </c>
      <c r="F18" s="27" t="str">
        <f>_xlfn.IFS(LEFT(Table12[[#This Row],[id_compd]],4)="DT","PC DESKTOP",LEFT(Table12[[#This Row],[id_compd]],4)="LAPT","LAPT")</f>
        <v>LAPT</v>
      </c>
      <c r="G18" s="27" t="s">
        <v>425</v>
      </c>
      <c r="H18" s="27" t="s">
        <v>624</v>
      </c>
      <c r="I18" s="27" t="s">
        <v>625</v>
      </c>
      <c r="J18" s="53">
        <v>11</v>
      </c>
      <c r="K18" s="53">
        <v>16</v>
      </c>
      <c r="L18" s="53" t="s">
        <v>540</v>
      </c>
      <c r="M18" s="56" t="s">
        <v>601</v>
      </c>
      <c r="N18" s="53">
        <v>512</v>
      </c>
      <c r="O18" s="54" t="s">
        <v>627</v>
      </c>
      <c r="P18" s="53">
        <v>0</v>
      </c>
      <c r="Q18" s="55" t="s">
        <v>434</v>
      </c>
      <c r="R18" s="27" t="s">
        <v>435</v>
      </c>
      <c r="S18" s="27" t="s">
        <v>436</v>
      </c>
      <c r="T18" s="27" t="s">
        <v>439</v>
      </c>
      <c r="U18" s="58" t="s">
        <v>626</v>
      </c>
      <c r="V18" s="58" t="s">
        <v>545</v>
      </c>
      <c r="W18" s="61">
        <f>IFERROR(IF(Table12[[#This Row],[id_cat_device]]="PC DESKTOP","NA",(Table12[[#This Row],[fcc]]/Table12[[#This Row],[dc]])),"")</f>
        <v>0.84370015948963317</v>
      </c>
      <c r="X18" s="62">
        <v>42009</v>
      </c>
      <c r="Y18" s="62">
        <v>35443</v>
      </c>
      <c r="Z18" s="32" t="s">
        <v>456</v>
      </c>
      <c r="AA18" s="32" t="s">
        <v>456</v>
      </c>
      <c r="AB18" s="27" t="s">
        <v>458</v>
      </c>
      <c r="AC18" s="32" t="s">
        <v>456</v>
      </c>
      <c r="AD18" s="32" t="s">
        <v>456</v>
      </c>
      <c r="AE18" s="52" t="s">
        <v>554</v>
      </c>
      <c r="AF18" s="32" t="s">
        <v>456</v>
      </c>
      <c r="AG18" s="32" t="s">
        <v>456</v>
      </c>
      <c r="AH18" s="32" t="s">
        <v>456</v>
      </c>
      <c r="AI18" s="32" t="s">
        <v>456</v>
      </c>
      <c r="AJ18" s="32" t="s">
        <v>456</v>
      </c>
      <c r="AK18" s="32" t="s">
        <v>456</v>
      </c>
      <c r="AL18" s="27" t="s">
        <v>455</v>
      </c>
      <c r="AM18" s="27" t="str">
        <f>IF(OR(Table12[[#This Row],[sub_con]]="CAUTION",Table12[[#This Row],[sub_con]]="POOR"),"BAD","GOOD")</f>
        <v>GOOD</v>
      </c>
      <c r="AN18" s="27" t="s">
        <v>526</v>
      </c>
      <c r="AO18" s="27" t="s">
        <v>530</v>
      </c>
      <c r="AP18" s="27" t="str" cm="1">
        <f t="array" ref="AP18">_xlfn.IFS(
Table12[[#This Row],[sub_con]]="GREAT","KEEP",
Table12[[#This Row],[sub_con]]="NORMAL","UPGRADE",
Table12[[#This Row],[sub_con]]="CAUTION","SERVICE",
Table12[[#This Row],[sub_con]]="POOR","DISPOSE")</f>
        <v>KEEP</v>
      </c>
      <c r="AQ18" s="44" t="s">
        <v>532</v>
      </c>
      <c r="AR18" s="27" t="s">
        <v>278</v>
      </c>
      <c r="AS18" s="27" t="s">
        <v>546</v>
      </c>
      <c r="AT18" s="27" t="s">
        <v>280</v>
      </c>
      <c r="AU18" s="27" t="s">
        <v>280</v>
      </c>
      <c r="AV18" s="27" t="s">
        <v>547</v>
      </c>
      <c r="AW18" s="27" t="s">
        <v>548</v>
      </c>
      <c r="AX18" s="32" t="str">
        <f>IF(Table12[[#This Row],[pic_nip]]&lt;&gt;999999,"IN USE",IF(AND(Table12[[#This Row],[note_loc]]="WAREHOUSE",Table12[[#This Row],[pic_nip]]=999999),"IN STORE","IN-ACTIVE"))</f>
        <v>IN USE</v>
      </c>
      <c r="AY18" s="53">
        <v>100822</v>
      </c>
      <c r="AZ18" s="26" t="s">
        <v>587</v>
      </c>
      <c r="BA18" s="27" t="str">
        <f>IF(COUNTBLANK(Table12[[#This Row],[id_compd]:[id_maintenance]])&gt;0,"VALIDATE [IN PROGRESS]","VALIDATE [DONE]")</f>
        <v>VALIDATE [DONE]</v>
      </c>
    </row>
    <row r="19" spans="1:53" x14ac:dyDescent="0.2">
      <c r="A19" s="3"/>
      <c r="B19" s="30" t="s">
        <v>1039</v>
      </c>
      <c r="C19" s="27" t="s">
        <v>633</v>
      </c>
      <c r="D19" s="27" t="s">
        <v>634</v>
      </c>
      <c r="E19" s="27" t="s">
        <v>635</v>
      </c>
      <c r="F19" s="27" t="str">
        <f>_xlfn.IFS(LEFT(Table12[[#This Row],[id_compd]],4)="DT","PC DESKTOP",LEFT(Table12[[#This Row],[id_compd]],4)="LAPT","LAPT")</f>
        <v>LAPT</v>
      </c>
      <c r="G19" s="27" t="s">
        <v>425</v>
      </c>
      <c r="H19" s="27" t="s">
        <v>608</v>
      </c>
      <c r="I19" s="27" t="s">
        <v>609</v>
      </c>
      <c r="J19" s="53">
        <v>8</v>
      </c>
      <c r="K19" s="53">
        <v>8</v>
      </c>
      <c r="L19" s="53" t="s">
        <v>540</v>
      </c>
      <c r="M19" s="56" t="s">
        <v>629</v>
      </c>
      <c r="N19" s="53">
        <v>126</v>
      </c>
      <c r="O19" s="54" t="s">
        <v>640</v>
      </c>
      <c r="P19" s="53">
        <v>0</v>
      </c>
      <c r="Q19" s="55" t="s">
        <v>434</v>
      </c>
      <c r="R19" s="27" t="s">
        <v>435</v>
      </c>
      <c r="S19" s="27" t="s">
        <v>436</v>
      </c>
      <c r="T19" s="27" t="s">
        <v>639</v>
      </c>
      <c r="U19" s="58" t="s">
        <v>638</v>
      </c>
      <c r="V19" s="58" t="s">
        <v>545</v>
      </c>
      <c r="W19" s="61">
        <f>IFERROR(IF(Table12[[#This Row],[id_cat_device]]="PC DESKTOP","NA",(Table12[[#This Row],[fcc]]/Table12[[#This Row],[dc]])),"")</f>
        <v>0.72529644268774707</v>
      </c>
      <c r="X19" s="62">
        <v>41998</v>
      </c>
      <c r="Y19" s="62">
        <v>30461</v>
      </c>
      <c r="Z19" s="32" t="s">
        <v>456</v>
      </c>
      <c r="AA19" s="32" t="s">
        <v>456</v>
      </c>
      <c r="AB19" s="27" t="s">
        <v>458</v>
      </c>
      <c r="AC19" s="32" t="s">
        <v>456</v>
      </c>
      <c r="AD19" s="32" t="s">
        <v>456</v>
      </c>
      <c r="AE19" s="52" t="s">
        <v>631</v>
      </c>
      <c r="AF19" s="32" t="s">
        <v>456</v>
      </c>
      <c r="AG19" s="32" t="s">
        <v>456</v>
      </c>
      <c r="AH19" s="32" t="s">
        <v>456</v>
      </c>
      <c r="AI19" s="32" t="s">
        <v>456</v>
      </c>
      <c r="AJ19" s="32" t="s">
        <v>456</v>
      </c>
      <c r="AK19" s="32" t="s">
        <v>456</v>
      </c>
      <c r="AL19" s="27" t="s">
        <v>455</v>
      </c>
      <c r="AM19" s="27" t="str">
        <f>IF(OR(Table12[[#This Row],[sub_con]]="CAUTION",Table12[[#This Row],[sub_con]]="POOR"),"BAD","GOOD")</f>
        <v>BAD</v>
      </c>
      <c r="AN19" s="27" t="s">
        <v>527</v>
      </c>
      <c r="AO19" s="27" t="s">
        <v>636</v>
      </c>
      <c r="AP19" s="27" t="str" cm="1">
        <f t="array" ref="AP19">_xlfn.IFS(
Table12[[#This Row],[sub_con]]="GREAT","KEEP",
Table12[[#This Row],[sub_con]]="NORMAL","UPGRADE",
Table12[[#This Row],[sub_con]]="CAUTION","SERVICE",
Table12[[#This Row],[sub_con]]="POOR","DISPOSE")</f>
        <v>DISPOSE</v>
      </c>
      <c r="AQ19" s="44" t="s">
        <v>532</v>
      </c>
      <c r="AR19" s="27" t="s">
        <v>632</v>
      </c>
      <c r="AS19" s="27" t="s">
        <v>546</v>
      </c>
      <c r="AT19" s="27" t="s">
        <v>280</v>
      </c>
      <c r="AU19" s="27" t="s">
        <v>637</v>
      </c>
      <c r="AV19" s="27" t="s">
        <v>254</v>
      </c>
      <c r="AW19" s="27" t="s">
        <v>614</v>
      </c>
      <c r="AX19" s="32" t="str">
        <f>IF(Table12[[#This Row],[pic_nip]]&lt;&gt;999999,"IN USE",IF(AND(Table12[[#This Row],[note_loc]]="WAREHOUSE",Table12[[#This Row],[pic_nip]]=999999),"IN STORE","IN-ACTIVE"))</f>
        <v>IN STORE</v>
      </c>
      <c r="AY19" s="53">
        <v>999999</v>
      </c>
      <c r="AZ19" s="26" t="s">
        <v>587</v>
      </c>
      <c r="BA19" s="27" t="str">
        <f>IF(COUNTBLANK(Table12[[#This Row],[id_compd]:[id_maintenance]])&gt;0,"VALIDATE [IN PROGRESS]","VALIDATE [DONE]")</f>
        <v>VALIDATE [DONE]</v>
      </c>
    </row>
  </sheetData>
  <mergeCells count="1">
    <mergeCell ref="X3:Y3"/>
  </mergeCells>
  <phoneticPr fontId="3" type="noConversion"/>
  <pageMargins left="0.7" right="0.7" top="0.75" bottom="0.75" header="0.3" footer="0.3"/>
  <legacy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2298-0C58-D048-AF0A-4B8C7A3C9A3C}">
  <sheetPr>
    <tabColor rgb="FFFFFF00"/>
  </sheetPr>
  <dimension ref="B3:L6"/>
  <sheetViews>
    <sheetView zoomScale="85" zoomScaleNormal="85" workbookViewId="0">
      <selection activeCell="H13" sqref="H13"/>
    </sheetView>
  </sheetViews>
  <sheetFormatPr baseColWidth="10" defaultColWidth="8.83203125" defaultRowHeight="15" x14ac:dyDescent="0.2"/>
  <cols>
    <col min="2" max="2" width="15.33203125" bestFit="1" customWidth="1"/>
    <col min="3" max="3" width="16.83203125" bestFit="1" customWidth="1"/>
    <col min="4" max="4" width="36.83203125" bestFit="1" customWidth="1"/>
    <col min="5" max="5" width="11.1640625" customWidth="1"/>
    <col min="6" max="6" width="52.5" bestFit="1" customWidth="1"/>
    <col min="7" max="7" width="16.1640625" customWidth="1"/>
    <col min="8" max="9" width="13.83203125" bestFit="1" customWidth="1"/>
    <col min="10" max="10" width="14.6640625" bestFit="1" customWidth="1"/>
    <col min="11" max="11" width="17.6640625" bestFit="1" customWidth="1"/>
    <col min="12" max="12" width="11.6640625" bestFit="1" customWidth="1"/>
  </cols>
  <sheetData>
    <row r="3" spans="2:12" ht="48" x14ac:dyDescent="0.2">
      <c r="H3" s="103" t="s">
        <v>1262</v>
      </c>
    </row>
    <row r="4" spans="2:12" x14ac:dyDescent="0.2">
      <c r="B4" s="2" t="s">
        <v>1256</v>
      </c>
      <c r="C4" s="2" t="s">
        <v>1257</v>
      </c>
      <c r="D4" s="2" t="s">
        <v>653</v>
      </c>
      <c r="E4" s="2" t="s">
        <v>1258</v>
      </c>
      <c r="F4" s="2" t="s">
        <v>1259</v>
      </c>
      <c r="G4" s="2" t="s">
        <v>1260</v>
      </c>
      <c r="H4" s="2" t="s">
        <v>1261</v>
      </c>
      <c r="I4" s="2" t="s">
        <v>1264</v>
      </c>
      <c r="J4" s="2" t="s">
        <v>1263</v>
      </c>
      <c r="K4" s="2" t="s">
        <v>1265</v>
      </c>
      <c r="L4" s="2" t="s">
        <v>662</v>
      </c>
    </row>
    <row r="5" spans="2:12" x14ac:dyDescent="0.2">
      <c r="B5" s="37"/>
      <c r="C5" s="14"/>
      <c r="D5" s="22"/>
      <c r="E5" s="15"/>
      <c r="F5" s="1"/>
      <c r="G5" s="104"/>
      <c r="H5" s="104"/>
      <c r="I5" s="104"/>
      <c r="J5" s="104"/>
      <c r="K5" s="104"/>
      <c r="L5" s="104"/>
    </row>
    <row r="6" spans="2:12" x14ac:dyDescent="0.2">
      <c r="B6" s="37"/>
      <c r="C6" s="14"/>
      <c r="D6" s="22"/>
      <c r="E6" s="15"/>
      <c r="F6" s="1"/>
      <c r="G6" s="104"/>
      <c r="H6" s="104"/>
      <c r="I6" s="104"/>
      <c r="J6" s="104"/>
      <c r="K6" s="104"/>
      <c r="L6" s="104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932D-0D62-48BD-8D29-6D3181332C88}">
  <sheetPr>
    <tabColor rgb="FFFFFF00"/>
  </sheetPr>
  <dimension ref="B4:F54"/>
  <sheetViews>
    <sheetView zoomScale="85" zoomScaleNormal="85" workbookViewId="0">
      <selection activeCell="E15" sqref="E15"/>
    </sheetView>
  </sheetViews>
  <sheetFormatPr baseColWidth="10" defaultColWidth="8.83203125" defaultRowHeight="15" x14ac:dyDescent="0.2"/>
  <cols>
    <col min="2" max="2" width="15.33203125" bestFit="1" customWidth="1"/>
    <col min="3" max="3" width="9.5" bestFit="1" customWidth="1"/>
    <col min="4" max="4" width="36.83203125" bestFit="1" customWidth="1"/>
    <col min="5" max="5" width="11.1640625" customWidth="1"/>
    <col min="6" max="6" width="52.5" bestFit="1" customWidth="1"/>
  </cols>
  <sheetData>
    <row r="4" spans="2:6" x14ac:dyDescent="0.2">
      <c r="B4" t="s">
        <v>588</v>
      </c>
      <c r="C4" t="s">
        <v>283</v>
      </c>
      <c r="D4" t="s">
        <v>589</v>
      </c>
      <c r="E4" t="s">
        <v>590</v>
      </c>
      <c r="F4" t="s">
        <v>261</v>
      </c>
    </row>
    <row r="5" spans="2:6" x14ac:dyDescent="0.2">
      <c r="B5" s="37" t="s">
        <v>405</v>
      </c>
      <c r="C5" s="14" t="s">
        <v>569</v>
      </c>
      <c r="D5" s="22">
        <v>7</v>
      </c>
      <c r="E5" s="15">
        <f>IF(Table17[[#This Row],[TYPE]]="ENUM",0,Table17[[#This Row],[LENGTH]])</f>
        <v>7</v>
      </c>
      <c r="F5" s="1" t="str">
        <f>Table17[[#This Row],[OB]]&amp;" "&amp;Table17[[#This Row],[TYPE]]&amp;"("&amp;IF(Table17[[#This Row],[TYPE]]="ENUM",("'"&amp;Table17[[#This Row],[LENGTH]]),Table17[[#This Row],[LENGHT2]])&amp;"),"</f>
        <v>ID_ASSET VARCHAR(7),</v>
      </c>
    </row>
    <row r="6" spans="2:6" x14ac:dyDescent="0.2">
      <c r="B6" s="37" t="s">
        <v>406</v>
      </c>
      <c r="C6" s="14" t="s">
        <v>569</v>
      </c>
      <c r="D6" s="22">
        <v>13</v>
      </c>
      <c r="E6" s="15">
        <f>IF(Table17[[#This Row],[TYPE]]="ENUM",0,Table17[[#This Row],[LENGTH]])</f>
        <v>13</v>
      </c>
      <c r="F6" s="1" t="str">
        <f>Table17[[#This Row],[OB]]&amp;" "&amp;Table17[[#This Row],[TYPE]]&amp;"("&amp;IF(Table17[[#This Row],[TYPE]]="ENUM",("'"&amp;Table17[[#This Row],[LENGTH]]),Table17[[#This Row],[LENGHT2]])&amp;"),"</f>
        <v>HOSTNAME VARCHAR(13),</v>
      </c>
    </row>
    <row r="7" spans="2:6" x14ac:dyDescent="0.2">
      <c r="B7" s="37" t="s">
        <v>407</v>
      </c>
      <c r="C7" s="14" t="s">
        <v>569</v>
      </c>
      <c r="D7" s="22">
        <v>15</v>
      </c>
      <c r="E7" s="15">
        <f>IF(Table17[[#This Row],[TYPE]]="ENUM",0,Table17[[#This Row],[LENGTH]])</f>
        <v>15</v>
      </c>
      <c r="F7" s="1" t="str">
        <f>Table17[[#This Row],[OB]]&amp;" "&amp;Table17[[#This Row],[TYPE]]&amp;"("&amp;IF(Table17[[#This Row],[TYPE]]="ENUM",("'"&amp;Table17[[#This Row],[LENGTH]]),Table17[[#This Row],[LENGHT2]])&amp;"),"</f>
        <v>SN VARCHAR(15),</v>
      </c>
    </row>
    <row r="8" spans="2:6" x14ac:dyDescent="0.2">
      <c r="B8" s="37" t="s">
        <v>408</v>
      </c>
      <c r="C8" s="14" t="s">
        <v>569</v>
      </c>
      <c r="D8" s="22">
        <v>15</v>
      </c>
      <c r="E8" s="15">
        <f>IF(Table17[[#This Row],[TYPE]]="ENUM",0,Table17[[#This Row],[LENGTH]])</f>
        <v>15</v>
      </c>
      <c r="F8" s="1" t="str">
        <f>Table17[[#This Row],[OB]]&amp;" "&amp;Table17[[#This Row],[TYPE]]&amp;"("&amp;IF(Table17[[#This Row],[TYPE]]="ENUM",("'"&amp;Table17[[#This Row],[LENGTH]]),Table17[[#This Row],[LENGHT2]])&amp;"),"</f>
        <v>BARCODE VARCHAR(15),</v>
      </c>
    </row>
    <row r="9" spans="2:6" x14ac:dyDescent="0.2">
      <c r="B9" s="37" t="s">
        <v>420</v>
      </c>
      <c r="C9" s="14" t="s">
        <v>583</v>
      </c>
      <c r="D9" s="41" t="s">
        <v>591</v>
      </c>
      <c r="E9" s="15">
        <f>IF(Table17[[#This Row],[TYPE]]="ENUM",0,Table17[[#This Row],[LENGTH]])</f>
        <v>0</v>
      </c>
      <c r="F9" s="1" t="str">
        <f>Table17[[#This Row],[OB]]&amp;" "&amp;Table17[[#This Row],[TYPE]]&amp;"("&amp;IF(Table17[[#This Row],[TYPE]]="ENUM",("'"&amp;Table17[[#This Row],[LENGTH]]),Table17[[#This Row],[LENGHT2]])&amp;"),"</f>
        <v>CATEGORY ENUM('LAPTOP','PC DESKTOP'),</v>
      </c>
    </row>
    <row r="10" spans="2:6" x14ac:dyDescent="0.2">
      <c r="B10" s="37" t="s">
        <v>409</v>
      </c>
      <c r="C10" s="14" t="s">
        <v>569</v>
      </c>
      <c r="D10" s="22">
        <v>4</v>
      </c>
      <c r="E10" s="15">
        <f>IF(Table17[[#This Row],[TYPE]]="ENUM",0,Table17[[#This Row],[LENGTH]])</f>
        <v>4</v>
      </c>
      <c r="F10" s="1" t="str">
        <f>Table17[[#This Row],[OB]]&amp;" "&amp;Table17[[#This Row],[TYPE]]&amp;"("&amp;IF(Table17[[#This Row],[TYPE]]="ENUM",("'"&amp;Table17[[#This Row],[LENGTH]]),Table17[[#This Row],[LENGHT2]])&amp;"),"</f>
        <v>BRAND VARCHAR(4),</v>
      </c>
    </row>
    <row r="11" spans="2:6" x14ac:dyDescent="0.2">
      <c r="B11" s="37" t="s">
        <v>283</v>
      </c>
      <c r="C11" s="14" t="s">
        <v>569</v>
      </c>
      <c r="D11" s="22">
        <v>14</v>
      </c>
      <c r="E11" s="15">
        <f>IF(Table17[[#This Row],[TYPE]]="ENUM",0,Table17[[#This Row],[LENGTH]])</f>
        <v>14</v>
      </c>
      <c r="F11" s="1" t="str">
        <f>Table17[[#This Row],[OB]]&amp;" "&amp;Table17[[#This Row],[TYPE]]&amp;"("&amp;IF(Table17[[#This Row],[TYPE]]="ENUM",("'"&amp;Table17[[#This Row],[LENGTH]]),Table17[[#This Row],[LENGHT2]])&amp;"),"</f>
        <v>TYPE VARCHAR(14),</v>
      </c>
    </row>
    <row r="12" spans="2:6" x14ac:dyDescent="0.2">
      <c r="B12" s="37" t="s">
        <v>410</v>
      </c>
      <c r="C12" s="14" t="s">
        <v>569</v>
      </c>
      <c r="D12" s="22">
        <v>8</v>
      </c>
      <c r="E12" s="15">
        <f>IF(Table17[[#This Row],[TYPE]]="ENUM",0,Table17[[#This Row],[LENGTH]])</f>
        <v>8</v>
      </c>
      <c r="F12" s="1" t="str">
        <f>Table17[[#This Row],[OB]]&amp;" "&amp;Table17[[#This Row],[TYPE]]&amp;"("&amp;IF(Table17[[#This Row],[TYPE]]="ENUM",("'"&amp;Table17[[#This Row],[LENGTH]]),Table17[[#This Row],[LENGHT2]])&amp;"),"</f>
        <v>PROCESSORS VARCHAR(8),</v>
      </c>
    </row>
    <row r="13" spans="2:6" x14ac:dyDescent="0.2">
      <c r="B13" s="37" t="s">
        <v>411</v>
      </c>
      <c r="C13" s="14" t="s">
        <v>584</v>
      </c>
      <c r="D13" s="22">
        <v>2</v>
      </c>
      <c r="E13" s="15">
        <f>IF(Table17[[#This Row],[TYPE]]="ENUM",0,Table17[[#This Row],[LENGTH]])</f>
        <v>2</v>
      </c>
      <c r="F13" s="1" t="str">
        <f>Table17[[#This Row],[OB]]&amp;" "&amp;Table17[[#This Row],[TYPE]]&amp;"("&amp;IF(Table17[[#This Row],[TYPE]]="ENUM",("'"&amp;Table17[[#This Row],[LENGTH]]),Table17[[#This Row],[LENGHT2]])&amp;"),"</f>
        <v>GEN INT(2),</v>
      </c>
    </row>
    <row r="14" spans="2:6" x14ac:dyDescent="0.2">
      <c r="B14" s="37" t="s">
        <v>419</v>
      </c>
      <c r="C14" s="14" t="s">
        <v>584</v>
      </c>
      <c r="D14" s="22">
        <v>2</v>
      </c>
      <c r="E14" s="15">
        <f>IF(Table17[[#This Row],[TYPE]]="ENUM",0,Table17[[#This Row],[LENGTH]])</f>
        <v>2</v>
      </c>
      <c r="F14" s="1" t="str">
        <f>Table17[[#This Row],[OB]]&amp;" "&amp;Table17[[#This Row],[TYPE]]&amp;"("&amp;IF(Table17[[#This Row],[TYPE]]="ENUM",("'"&amp;Table17[[#This Row],[LENGTH]]),Table17[[#This Row],[LENGHT2]])&amp;"),"</f>
        <v>RAM_CAP INT(2),</v>
      </c>
    </row>
    <row r="15" spans="2:6" x14ac:dyDescent="0.2">
      <c r="B15" s="37" t="s">
        <v>418</v>
      </c>
      <c r="C15" s="14" t="s">
        <v>569</v>
      </c>
      <c r="D15" s="22">
        <v>6</v>
      </c>
      <c r="E15" s="15">
        <f>IF(Table17[[#This Row],[TYPE]]="ENUM",0,Table17[[#This Row],[LENGTH]])</f>
        <v>6</v>
      </c>
      <c r="F15" s="1" t="str">
        <f>Table17[[#This Row],[OB]]&amp;" "&amp;Table17[[#This Row],[TYPE]]&amp;"("&amp;IF(Table17[[#This Row],[TYPE]]="ENUM",("'"&amp;Table17[[#This Row],[LENGTH]]),Table17[[#This Row],[LENGHT2]])&amp;"),"</f>
        <v>RAM_SLOT VARCHAR(6),</v>
      </c>
    </row>
    <row r="16" spans="2:6" x14ac:dyDescent="0.2">
      <c r="B16" s="37" t="s">
        <v>417</v>
      </c>
      <c r="C16" s="14" t="s">
        <v>569</v>
      </c>
      <c r="D16" s="22">
        <v>50</v>
      </c>
      <c r="E16" s="15">
        <f>IF(Table17[[#This Row],[TYPE]]="ENUM",0,Table17[[#This Row],[LENGTH]])</f>
        <v>50</v>
      </c>
      <c r="F16" s="1" t="str">
        <f>Table17[[#This Row],[OB]]&amp;" "&amp;Table17[[#This Row],[TYPE]]&amp;"("&amp;IF(Table17[[#This Row],[TYPE]]="ENUM",("'"&amp;Table17[[#This Row],[LENGTH]]),Table17[[#This Row],[LENGHT2]])&amp;"),"</f>
        <v>RAM_TYPE VARCHAR(50),</v>
      </c>
    </row>
    <row r="17" spans="2:6" x14ac:dyDescent="0.2">
      <c r="B17" s="37" t="s">
        <v>416</v>
      </c>
      <c r="C17" s="14" t="s">
        <v>584</v>
      </c>
      <c r="D17" s="22">
        <v>4</v>
      </c>
      <c r="E17" s="15">
        <f>IF(Table17[[#This Row],[TYPE]]="ENUM",0,Table17[[#This Row],[LENGTH]])</f>
        <v>4</v>
      </c>
      <c r="F17" s="1" t="str">
        <f>Table17[[#This Row],[OB]]&amp;" "&amp;Table17[[#This Row],[TYPE]]&amp;"("&amp;IF(Table17[[#This Row],[TYPE]]="ENUM",("'"&amp;Table17[[#This Row],[LENGTH]]),Table17[[#This Row],[LENGHT2]])&amp;"),"</f>
        <v>DISK1_CAP INT(4),</v>
      </c>
    </row>
    <row r="18" spans="2:6" x14ac:dyDescent="0.2">
      <c r="B18" s="37" t="s">
        <v>415</v>
      </c>
      <c r="C18" s="14" t="s">
        <v>569</v>
      </c>
      <c r="D18" s="22">
        <v>50</v>
      </c>
      <c r="E18" s="15">
        <f>IF(Table17[[#This Row],[TYPE]]="ENUM",0,Table17[[#This Row],[LENGTH]])</f>
        <v>50</v>
      </c>
      <c r="F18" s="1" t="str">
        <f>Table17[[#This Row],[OB]]&amp;" "&amp;Table17[[#This Row],[TYPE]]&amp;"("&amp;IF(Table17[[#This Row],[TYPE]]="ENUM",("'"&amp;Table17[[#This Row],[LENGTH]]),Table17[[#This Row],[LENGHT2]])&amp;"),"</f>
        <v>DISK1_TYPE VARCHAR(50),</v>
      </c>
    </row>
    <row r="19" spans="2:6" x14ac:dyDescent="0.2">
      <c r="B19" s="37" t="s">
        <v>414</v>
      </c>
      <c r="C19" s="14" t="s">
        <v>584</v>
      </c>
      <c r="D19" s="22">
        <v>4</v>
      </c>
      <c r="E19" s="15">
        <f>IF(Table17[[#This Row],[TYPE]]="ENUM",0,Table17[[#This Row],[LENGTH]])</f>
        <v>4</v>
      </c>
      <c r="F19" s="1" t="str">
        <f>Table17[[#This Row],[OB]]&amp;" "&amp;Table17[[#This Row],[TYPE]]&amp;"("&amp;IF(Table17[[#This Row],[TYPE]]="ENUM",("'"&amp;Table17[[#This Row],[LENGTH]]),Table17[[#This Row],[LENGHT2]])&amp;"),"</f>
        <v>DISK2_CAP INT(4),</v>
      </c>
    </row>
    <row r="20" spans="2:6" x14ac:dyDescent="0.2">
      <c r="B20" s="37" t="s">
        <v>413</v>
      </c>
      <c r="C20" s="14" t="s">
        <v>569</v>
      </c>
      <c r="D20" s="22">
        <v>50</v>
      </c>
      <c r="E20" s="15">
        <f>IF(Table17[[#This Row],[TYPE]]="ENUM",0,Table17[[#This Row],[LENGTH]])</f>
        <v>50</v>
      </c>
      <c r="F20" s="1" t="str">
        <f>Table17[[#This Row],[OB]]&amp;" "&amp;Table17[[#This Row],[TYPE]]&amp;"("&amp;IF(Table17[[#This Row],[TYPE]]="ENUM",("'"&amp;Table17[[#This Row],[LENGTH]]),Table17[[#This Row],[LENGHT2]])&amp;"),"</f>
        <v>DISK2_TYPE VARCHAR(50),</v>
      </c>
    </row>
    <row r="21" spans="2:6" x14ac:dyDescent="0.2">
      <c r="B21" s="37" t="s">
        <v>432</v>
      </c>
      <c r="C21" s="14" t="s">
        <v>569</v>
      </c>
      <c r="D21" s="22">
        <v>25</v>
      </c>
      <c r="E21" s="15">
        <f>IF(Table17[[#This Row],[TYPE]]="ENUM",0,Table17[[#This Row],[LENGTH]])</f>
        <v>25</v>
      </c>
      <c r="F21" s="1" t="str">
        <f>Table17[[#This Row],[OB]]&amp;" "&amp;Table17[[#This Row],[TYPE]]&amp;"("&amp;IF(Table17[[#This Row],[TYPE]]="ENUM",("'"&amp;Table17[[#This Row],[LENGTH]]),Table17[[#This Row],[LENGHT2]])&amp;"),"</f>
        <v>OS VARCHAR(25),</v>
      </c>
    </row>
    <row r="22" spans="2:6" x14ac:dyDescent="0.2">
      <c r="B22" s="37" t="s">
        <v>412</v>
      </c>
      <c r="C22" s="14" t="s">
        <v>569</v>
      </c>
      <c r="D22" s="22">
        <v>25</v>
      </c>
      <c r="E22" s="15">
        <f>IF(Table17[[#This Row],[TYPE]]="ENUM",0,Table17[[#This Row],[LENGTH]])</f>
        <v>25</v>
      </c>
      <c r="F22" s="1" t="str">
        <f>Table17[[#This Row],[OB]]&amp;" "&amp;Table17[[#This Row],[TYPE]]&amp;"("&amp;IF(Table17[[#This Row],[TYPE]]="ENUM",("'"&amp;Table17[[#This Row],[LENGTH]]),Table17[[#This Row],[LENGHT2]])&amp;"),"</f>
        <v>OS_TYPE VARCHAR(25),</v>
      </c>
    </row>
    <row r="23" spans="2:6" x14ac:dyDescent="0.2">
      <c r="B23" s="37" t="s">
        <v>438</v>
      </c>
      <c r="C23" s="14" t="s">
        <v>569</v>
      </c>
      <c r="D23" s="22">
        <v>25</v>
      </c>
      <c r="E23" s="15">
        <f>IF(Table17[[#This Row],[TYPE]]="ENUM",0,Table17[[#This Row],[LENGTH]])</f>
        <v>25</v>
      </c>
      <c r="F23" s="1" t="str">
        <f>Table17[[#This Row],[OB]]&amp;" "&amp;Table17[[#This Row],[TYPE]]&amp;"("&amp;IF(Table17[[#This Row],[TYPE]]="ENUM",("'"&amp;Table17[[#This Row],[LENGTH]]),Table17[[#This Row],[LENGHT2]])&amp;"),"</f>
        <v>OS_VER VARCHAR(25),</v>
      </c>
    </row>
    <row r="24" spans="2:6" x14ac:dyDescent="0.2">
      <c r="B24" s="37" t="s">
        <v>430</v>
      </c>
      <c r="C24" s="14" t="s">
        <v>569</v>
      </c>
      <c r="D24" s="22">
        <v>25</v>
      </c>
      <c r="E24" s="15">
        <f>IF(Table17[[#This Row],[TYPE]]="ENUM",0,Table17[[#This Row],[LENGTH]])</f>
        <v>25</v>
      </c>
      <c r="F24" s="1" t="str">
        <f>Table17[[#This Row],[OB]]&amp;" "&amp;Table17[[#This Row],[TYPE]]&amp;"("&amp;IF(Table17[[#This Row],[TYPE]]="ENUM",("'"&amp;Table17[[#This Row],[LENGTH]]),Table17[[#This Row],[LENGHT2]])&amp;"),"</f>
        <v>PRODUCT_ID VARCHAR(25),</v>
      </c>
    </row>
    <row r="25" spans="2:6" x14ac:dyDescent="0.2">
      <c r="B25" s="37" t="s">
        <v>431</v>
      </c>
      <c r="C25" s="14" t="s">
        <v>569</v>
      </c>
      <c r="D25" s="22">
        <v>30</v>
      </c>
      <c r="E25" s="15">
        <f>IF(Table17[[#This Row],[TYPE]]="ENUM",0,Table17[[#This Row],[LENGTH]])</f>
        <v>30</v>
      </c>
      <c r="F25" s="1" t="str">
        <f>Table17[[#This Row],[OB]]&amp;" "&amp;Table17[[#This Row],[TYPE]]&amp;"("&amp;IF(Table17[[#This Row],[TYPE]]="ENUM",("'"&amp;Table17[[#This Row],[LENGTH]]),Table17[[#This Row],[LENGHT2]])&amp;"),"</f>
        <v>PRODUCT_KEY VARCHAR(30),</v>
      </c>
    </row>
    <row r="26" spans="2:6" x14ac:dyDescent="0.2">
      <c r="B26" s="37" t="s">
        <v>443</v>
      </c>
      <c r="C26" s="14" t="s">
        <v>585</v>
      </c>
      <c r="D26" s="22" t="s">
        <v>586</v>
      </c>
      <c r="E26" s="15" t="str">
        <f>IF(Table17[[#This Row],[TYPE]]="ENUM",0,Table17[[#This Row],[LENGTH]])</f>
        <v>5, 2</v>
      </c>
      <c r="F26" s="1" t="str">
        <f>Table17[[#This Row],[OB]]&amp;" "&amp;Table17[[#This Row],[TYPE]]&amp;"("&amp;IF(Table17[[#This Row],[TYPE]]="ENUM",("'"&amp;Table17[[#This Row],[LENGTH]]),Table17[[#This Row],[LENGHT2]])&amp;"),"</f>
        <v>BH DECIMAL(5, 2),</v>
      </c>
    </row>
    <row r="27" spans="2:6" x14ac:dyDescent="0.2">
      <c r="B27" s="37" t="s">
        <v>440</v>
      </c>
      <c r="C27" s="14" t="s">
        <v>584</v>
      </c>
      <c r="D27" s="22">
        <v>5</v>
      </c>
      <c r="E27" s="15">
        <f>IF(Table17[[#This Row],[TYPE]]="ENUM",0,Table17[[#This Row],[LENGTH]])</f>
        <v>5</v>
      </c>
      <c r="F27" s="1" t="str">
        <f>Table17[[#This Row],[OB]]&amp;" "&amp;Table17[[#This Row],[TYPE]]&amp;"("&amp;IF(Table17[[#This Row],[TYPE]]="ENUM",("'"&amp;Table17[[#This Row],[LENGTH]]),Table17[[#This Row],[LENGHT2]])&amp;"),"</f>
        <v>DC INT(5),</v>
      </c>
    </row>
    <row r="28" spans="2:6" x14ac:dyDescent="0.2">
      <c r="B28" s="37" t="s">
        <v>441</v>
      </c>
      <c r="C28" s="14" t="s">
        <v>584</v>
      </c>
      <c r="D28" s="22">
        <v>5</v>
      </c>
      <c r="E28" s="15">
        <f>IF(Table17[[#This Row],[TYPE]]="ENUM",0,Table17[[#This Row],[LENGTH]])</f>
        <v>5</v>
      </c>
      <c r="F28" s="1" t="str">
        <f>Table17[[#This Row],[OB]]&amp;" "&amp;Table17[[#This Row],[TYPE]]&amp;"("&amp;IF(Table17[[#This Row],[TYPE]]="ENUM",("'"&amp;Table17[[#This Row],[LENGTH]]),Table17[[#This Row],[LENGHT2]])&amp;"),"</f>
        <v>FCC INT(5),</v>
      </c>
    </row>
    <row r="29" spans="2:6" x14ac:dyDescent="0.2">
      <c r="B29" s="37" t="s">
        <v>444</v>
      </c>
      <c r="C29" s="14" t="s">
        <v>583</v>
      </c>
      <c r="D29" s="22" t="s">
        <v>592</v>
      </c>
      <c r="E29" s="15">
        <f>IF(Table17[[#This Row],[TYPE]]="ENUM",0,Table17[[#This Row],[LENGTH]])</f>
        <v>0</v>
      </c>
      <c r="F29" s="1" t="str">
        <f>Table17[[#This Row],[OB]]&amp;" "&amp;Table17[[#This Row],[TYPE]]&amp;"("&amp;IF(Table17[[#This Row],[TYPE]]="ENUM",("'"&amp;Table17[[#This Row],[LENGTH]]),Table17[[#This Row],[LENGHT2]])&amp;"),"</f>
        <v>CASING ENUM('GOOD','BAD'),</v>
      </c>
    </row>
    <row r="30" spans="2:6" x14ac:dyDescent="0.2">
      <c r="B30" s="37" t="s">
        <v>445</v>
      </c>
      <c r="C30" s="14" t="s">
        <v>583</v>
      </c>
      <c r="D30" s="22" t="s">
        <v>592</v>
      </c>
      <c r="E30" s="15">
        <f>IF(Table17[[#This Row],[TYPE]]="ENUM",0,Table17[[#This Row],[LENGTH]])</f>
        <v>0</v>
      </c>
      <c r="F30" s="1" t="str">
        <f>Table17[[#This Row],[OB]]&amp;" "&amp;Table17[[#This Row],[TYPE]]&amp;"("&amp;IF(Table17[[#This Row],[TYPE]]="ENUM",("'"&amp;Table17[[#This Row],[LENGTH]]),Table17[[#This Row],[LENGHT2]])&amp;"),"</f>
        <v>DISPLAY ENUM('GOOD','BAD'),</v>
      </c>
    </row>
    <row r="31" spans="2:6" x14ac:dyDescent="0.2">
      <c r="B31" s="37" t="s">
        <v>457</v>
      </c>
      <c r="C31" s="14" t="s">
        <v>569</v>
      </c>
      <c r="D31" s="22">
        <v>25</v>
      </c>
      <c r="E31" s="15">
        <f>IF(Table17[[#This Row],[TYPE]]="ENUM",0,Table17[[#This Row],[LENGTH]])</f>
        <v>25</v>
      </c>
      <c r="F31" s="1" t="str">
        <f>Table17[[#This Row],[OB]]&amp;" "&amp;Table17[[#This Row],[TYPE]]&amp;"("&amp;IF(Table17[[#This Row],[TYPE]]="ENUM",("'"&amp;Table17[[#This Row],[LENGTH]]),Table17[[#This Row],[LENGHT2]])&amp;"),"</f>
        <v>PORT_DISPLAY VARCHAR(25),</v>
      </c>
    </row>
    <row r="32" spans="2:6" x14ac:dyDescent="0.2">
      <c r="B32" s="37" t="s">
        <v>446</v>
      </c>
      <c r="C32" s="14" t="s">
        <v>583</v>
      </c>
      <c r="D32" s="22" t="s">
        <v>592</v>
      </c>
      <c r="E32" s="15">
        <f>IF(Table17[[#This Row],[TYPE]]="ENUM",0,Table17[[#This Row],[LENGTH]])</f>
        <v>0</v>
      </c>
      <c r="F32" s="1" t="str">
        <f>Table17[[#This Row],[OB]]&amp;" "&amp;Table17[[#This Row],[TYPE]]&amp;"("&amp;IF(Table17[[#This Row],[TYPE]]="ENUM",("'"&amp;Table17[[#This Row],[LENGTH]]),Table17[[#This Row],[LENGHT2]])&amp;"),"</f>
        <v>KEYBOARD ENUM('GOOD','BAD'),</v>
      </c>
    </row>
    <row r="33" spans="2:6" x14ac:dyDescent="0.2">
      <c r="B33" s="37" t="s">
        <v>447</v>
      </c>
      <c r="C33" s="14" t="s">
        <v>583</v>
      </c>
      <c r="D33" s="22" t="s">
        <v>592</v>
      </c>
      <c r="E33" s="15">
        <f>IF(Table17[[#This Row],[TYPE]]="ENUM",0,Table17[[#This Row],[LENGTH]])</f>
        <v>0</v>
      </c>
      <c r="F33" s="1" t="str">
        <f>Table17[[#This Row],[OB]]&amp;" "&amp;Table17[[#This Row],[TYPE]]&amp;"("&amp;IF(Table17[[#This Row],[TYPE]]="ENUM",("'"&amp;Table17[[#This Row],[LENGTH]]),Table17[[#This Row],[LENGHT2]])&amp;"),"</f>
        <v>TOUCHPAD ENUM('GOOD','BAD'),</v>
      </c>
    </row>
    <row r="34" spans="2:6" x14ac:dyDescent="0.2">
      <c r="B34" s="37" t="s">
        <v>448</v>
      </c>
      <c r="C34" s="14" t="s">
        <v>569</v>
      </c>
      <c r="D34" s="22">
        <v>25</v>
      </c>
      <c r="E34" s="15">
        <f>IF(Table17[[#This Row],[TYPE]]="ENUM",0,Table17[[#This Row],[LENGTH]])</f>
        <v>25</v>
      </c>
      <c r="F34" s="1" t="str">
        <f>Table17[[#This Row],[OB]]&amp;" "&amp;Table17[[#This Row],[TYPE]]&amp;"("&amp;IF(Table17[[#This Row],[TYPE]]="ENUM",("'"&amp;Table17[[#This Row],[LENGTH]]),Table17[[#This Row],[LENGHT2]])&amp;"),"</f>
        <v>PORT_USB VARCHAR(25),</v>
      </c>
    </row>
    <row r="35" spans="2:6" x14ac:dyDescent="0.2">
      <c r="B35" s="37" t="s">
        <v>449</v>
      </c>
      <c r="C35" s="14" t="s">
        <v>583</v>
      </c>
      <c r="D35" s="22" t="s">
        <v>592</v>
      </c>
      <c r="E35" s="15">
        <f>IF(Table17[[#This Row],[TYPE]]="ENUM",0,Table17[[#This Row],[LENGTH]])</f>
        <v>0</v>
      </c>
      <c r="F35" s="1" t="str">
        <f>Table17[[#This Row],[OB]]&amp;" "&amp;Table17[[#This Row],[TYPE]]&amp;"("&amp;IF(Table17[[#This Row],[TYPE]]="ENUM",("'"&amp;Table17[[#This Row],[LENGTH]]),Table17[[#This Row],[LENGHT2]])&amp;"),"</f>
        <v>PORT_JECK ENUM('GOOD','BAD'),</v>
      </c>
    </row>
    <row r="36" spans="2:6" x14ac:dyDescent="0.2">
      <c r="B36" s="37" t="s">
        <v>450</v>
      </c>
      <c r="C36" s="14" t="s">
        <v>583</v>
      </c>
      <c r="D36" s="22" t="s">
        <v>592</v>
      </c>
      <c r="E36" s="15">
        <f>IF(Table17[[#This Row],[TYPE]]="ENUM",0,Table17[[#This Row],[LENGTH]])</f>
        <v>0</v>
      </c>
      <c r="F36" s="1" t="str">
        <f>Table17[[#This Row],[OB]]&amp;" "&amp;Table17[[#This Row],[TYPE]]&amp;"("&amp;IF(Table17[[#This Row],[TYPE]]="ENUM",("'"&amp;Table17[[#This Row],[LENGTH]]),Table17[[#This Row],[LENGHT2]])&amp;"),"</f>
        <v>PORT_PSU ENUM('GOOD','BAD'),</v>
      </c>
    </row>
    <row r="37" spans="2:6" x14ac:dyDescent="0.2">
      <c r="B37" s="37" t="s">
        <v>451</v>
      </c>
      <c r="C37" s="14" t="s">
        <v>583</v>
      </c>
      <c r="D37" s="22" t="s">
        <v>592</v>
      </c>
      <c r="E37" s="15">
        <f>IF(Table17[[#This Row],[TYPE]]="ENUM",0,Table17[[#This Row],[LENGTH]])</f>
        <v>0</v>
      </c>
      <c r="F37" s="1" t="str">
        <f>Table17[[#This Row],[OB]]&amp;" "&amp;Table17[[#This Row],[TYPE]]&amp;"("&amp;IF(Table17[[#This Row],[TYPE]]="ENUM",("'"&amp;Table17[[#This Row],[LENGTH]]),Table17[[#This Row],[LENGHT2]])&amp;"),"</f>
        <v>FAN ENUM('GOOD','BAD'),</v>
      </c>
    </row>
    <row r="38" spans="2:6" x14ac:dyDescent="0.2">
      <c r="B38" s="37" t="s">
        <v>452</v>
      </c>
      <c r="C38" s="14" t="s">
        <v>583</v>
      </c>
      <c r="D38" s="22" t="s">
        <v>592</v>
      </c>
      <c r="E38" s="15">
        <f>IF(Table17[[#This Row],[TYPE]]="ENUM",0,Table17[[#This Row],[LENGTH]])</f>
        <v>0</v>
      </c>
      <c r="F38" s="1" t="str">
        <f>Table17[[#This Row],[OB]]&amp;" "&amp;Table17[[#This Row],[TYPE]]&amp;"("&amp;IF(Table17[[#This Row],[TYPE]]="ENUM",("'"&amp;Table17[[#This Row],[LENGTH]]),Table17[[#This Row],[LENGHT2]])&amp;"),"</f>
        <v>WEBCAM ENUM('GOOD','BAD'),</v>
      </c>
    </row>
    <row r="39" spans="2:6" x14ac:dyDescent="0.2">
      <c r="B39" s="37" t="s">
        <v>453</v>
      </c>
      <c r="C39" s="14" t="s">
        <v>583</v>
      </c>
      <c r="D39" s="22" t="s">
        <v>592</v>
      </c>
      <c r="E39" s="15">
        <f>IF(Table17[[#This Row],[TYPE]]="ENUM",0,Table17[[#This Row],[LENGTH]])</f>
        <v>0</v>
      </c>
      <c r="F39" s="1" t="str">
        <f>Table17[[#This Row],[OB]]&amp;" "&amp;Table17[[#This Row],[TYPE]]&amp;"("&amp;IF(Table17[[#This Row],[TYPE]]="ENUM",("'"&amp;Table17[[#This Row],[LENGTH]]),Table17[[#This Row],[LENGHT2]])&amp;"),"</f>
        <v>MICROFON ENUM('GOOD','BAD'),</v>
      </c>
    </row>
    <row r="40" spans="2:6" x14ac:dyDescent="0.2">
      <c r="B40" s="37" t="s">
        <v>454</v>
      </c>
      <c r="C40" s="14" t="s">
        <v>583</v>
      </c>
      <c r="D40" s="22" t="s">
        <v>592</v>
      </c>
      <c r="E40" s="15">
        <f>IF(Table17[[#This Row],[TYPE]]="ENUM",0,Table17[[#This Row],[LENGTH]])</f>
        <v>0</v>
      </c>
      <c r="F40" s="1" t="str">
        <f>Table17[[#This Row],[OB]]&amp;" "&amp;Table17[[#This Row],[TYPE]]&amp;"("&amp;IF(Table17[[#This Row],[TYPE]]="ENUM",("'"&amp;Table17[[#This Row],[LENGTH]]),Table17[[#This Row],[LENGHT2]])&amp;"),"</f>
        <v>SPEAKER ENUM('GOOD','BAD'),</v>
      </c>
    </row>
    <row r="41" spans="2:6" x14ac:dyDescent="0.2">
      <c r="B41" s="37" t="s">
        <v>597</v>
      </c>
      <c r="C41" s="14" t="s">
        <v>569</v>
      </c>
      <c r="D41" s="22">
        <v>25</v>
      </c>
      <c r="E41" s="15">
        <f>IF(Table17[[#This Row],[TYPE]]="ENUM",0,Table17[[#This Row],[LENGTH]])</f>
        <v>25</v>
      </c>
      <c r="F41" s="1" t="str">
        <f>Table17[[#This Row],[OB]]&amp;" "&amp;Table17[[#This Row],[TYPE]]&amp;"("&amp;IF(Table17[[#This Row],[TYPE]]="ENUM",("'"&amp;Table17[[#This Row],[LENGTH]]),Table17[[#This Row],[LENGHT2]])&amp;"),"</f>
        <v>CONNECTIONS VARCHAR(25),</v>
      </c>
    </row>
    <row r="42" spans="2:6" x14ac:dyDescent="0.2">
      <c r="B42" s="37" t="s">
        <v>459</v>
      </c>
      <c r="C42" s="14" t="s">
        <v>583</v>
      </c>
      <c r="D42" s="22" t="s">
        <v>592</v>
      </c>
      <c r="E42" s="15">
        <f>IF(Table17[[#This Row],[TYPE]]="ENUM",0,Table17[[#This Row],[LENGTH]])</f>
        <v>0</v>
      </c>
      <c r="F42" s="1" t="str">
        <f>Table17[[#This Row],[OB]]&amp;" "&amp;Table17[[#This Row],[TYPE]]&amp;"("&amp;IF(Table17[[#This Row],[TYPE]]="ENUM",("'"&amp;Table17[[#This Row],[LENGTH]]),Table17[[#This Row],[LENGHT2]])&amp;"),"</f>
        <v>CONDITION ENUM('GOOD','BAD'),</v>
      </c>
    </row>
    <row r="43" spans="2:6" x14ac:dyDescent="0.2">
      <c r="B43" s="37" t="s">
        <v>460</v>
      </c>
      <c r="C43" s="14" t="s">
        <v>583</v>
      </c>
      <c r="D43" s="22" t="s">
        <v>593</v>
      </c>
      <c r="E43" s="15">
        <f>IF(Table17[[#This Row],[TYPE]]="ENUM",0,Table17[[#This Row],[LENGTH]])</f>
        <v>0</v>
      </c>
      <c r="F43" s="1" t="str">
        <f>Table17[[#This Row],[OB]]&amp;" "&amp;Table17[[#This Row],[TYPE]]&amp;"("&amp;IF(Table17[[#This Row],[TYPE]]="ENUM",("'"&amp;Table17[[#This Row],[LENGTH]]),Table17[[#This Row],[LENGHT2]])&amp;"),"</f>
        <v>SUB_CON ENUM('GREAT','NORMAL','CAUTION','POOR'),</v>
      </c>
    </row>
    <row r="44" spans="2:6" x14ac:dyDescent="0.2">
      <c r="B44" s="37" t="s">
        <v>461</v>
      </c>
      <c r="C44" s="14" t="s">
        <v>569</v>
      </c>
      <c r="D44" s="22">
        <v>200</v>
      </c>
      <c r="E44" s="15">
        <f>IF(Table17[[#This Row],[TYPE]]="ENUM",0,Table17[[#This Row],[LENGTH]])</f>
        <v>200</v>
      </c>
      <c r="F44" s="1" t="str">
        <f>Table17[[#This Row],[OB]]&amp;" "&amp;Table17[[#This Row],[TYPE]]&amp;"("&amp;IF(Table17[[#This Row],[TYPE]]="ENUM",("'"&amp;Table17[[#This Row],[LENGTH]]),Table17[[#This Row],[LENGHT2]])&amp;"),"</f>
        <v>NOTE_CON VARCHAR(200),</v>
      </c>
    </row>
    <row r="45" spans="2:6" x14ac:dyDescent="0.2">
      <c r="B45" s="37" t="s">
        <v>462</v>
      </c>
      <c r="C45" s="14" t="s">
        <v>583</v>
      </c>
      <c r="D45" s="22" t="s">
        <v>594</v>
      </c>
      <c r="E45" s="15">
        <f>IF(Table17[[#This Row],[TYPE]]="ENUM",0,Table17[[#This Row],[LENGTH]])</f>
        <v>0</v>
      </c>
      <c r="F45" s="1" t="str">
        <f>Table17[[#This Row],[OB]]&amp;" "&amp;Table17[[#This Row],[TYPE]]&amp;"("&amp;IF(Table17[[#This Row],[TYPE]]="ENUM",("'"&amp;Table17[[#This Row],[LENGTH]]),Table17[[#This Row],[LENGHT2]])&amp;"),"</f>
        <v>SOLUTION ENUM('KEEP','UPGRADE','SERVICE','DISPOSE'),</v>
      </c>
    </row>
    <row r="46" spans="2:6" x14ac:dyDescent="0.2">
      <c r="B46" s="37" t="s">
        <v>463</v>
      </c>
      <c r="C46" s="14" t="s">
        <v>569</v>
      </c>
      <c r="D46" s="22">
        <v>200</v>
      </c>
      <c r="E46" s="15">
        <f>IF(Table17[[#This Row],[TYPE]]="ENUM",0,Table17[[#This Row],[LENGTH]])</f>
        <v>200</v>
      </c>
      <c r="F46" s="1" t="str">
        <f>Table17[[#This Row],[OB]]&amp;" "&amp;Table17[[#This Row],[TYPE]]&amp;"("&amp;IF(Table17[[#This Row],[TYPE]]="ENUM",("'"&amp;Table17[[#This Row],[LENGTH]]),Table17[[#This Row],[LENGHT2]])&amp;"),"</f>
        <v>NOTE_SOL VARCHAR(200),</v>
      </c>
    </row>
    <row r="47" spans="2:6" x14ac:dyDescent="0.2">
      <c r="B47" s="37" t="s">
        <v>468</v>
      </c>
      <c r="C47" s="14" t="s">
        <v>583</v>
      </c>
      <c r="D47" s="22" t="s">
        <v>596</v>
      </c>
      <c r="E47" s="15">
        <f>IF(Table17[[#This Row],[TYPE]]="ENUM",0,Table17[[#This Row],[LENGTH]])</f>
        <v>0</v>
      </c>
      <c r="F47" s="1" t="str">
        <f>Table17[[#This Row],[OB]]&amp;" "&amp;Table17[[#This Row],[TYPE]]&amp;"("&amp;IF(Table17[[#This Row],[TYPE]]="ENUM",("'"&amp;Table17[[#This Row],[LENGTH]]),Table17[[#This Row],[LENGHT2]])&amp;"),"</f>
        <v>STATUS_FUNC ENUM('PIC','LOAN'),</v>
      </c>
    </row>
    <row r="48" spans="2:6" x14ac:dyDescent="0.2">
      <c r="B48" s="37" t="s">
        <v>598</v>
      </c>
      <c r="C48" s="14" t="s">
        <v>583</v>
      </c>
      <c r="D48" s="22" t="s">
        <v>595</v>
      </c>
      <c r="E48" s="15">
        <f>IF(Table17[[#This Row],[TYPE]]="ENUM",0,Table17[[#This Row],[LENGTH]])</f>
        <v>0</v>
      </c>
      <c r="F48" s="1" t="str">
        <f>Table17[[#This Row],[OB]]&amp;" "&amp;Table17[[#This Row],[TYPE]]&amp;"("&amp;IF(Table17[[#This Row],[TYPE]]="ENUM",("'"&amp;Table17[[#This Row],[LENGTH]]),Table17[[#This Row],[LENGHT2]])&amp;"),"</f>
        <v>FUNCTIONS ENUM('PERSONAL','OPERATIONAL','SYSTEM','TESTING'),</v>
      </c>
    </row>
    <row r="49" spans="2:6" x14ac:dyDescent="0.2">
      <c r="B49" s="37" t="s">
        <v>464</v>
      </c>
      <c r="C49" s="14" t="s">
        <v>569</v>
      </c>
      <c r="D49" s="22">
        <v>200</v>
      </c>
      <c r="E49" s="15">
        <f>IF(Table17[[#This Row],[TYPE]]="ENUM",0,Table17[[#This Row],[LENGTH]])</f>
        <v>200</v>
      </c>
      <c r="F49" s="1" t="str">
        <f>Table17[[#This Row],[OB]]&amp;" "&amp;Table17[[#This Row],[TYPE]]&amp;"("&amp;IF(Table17[[#This Row],[TYPE]]="ENUM",("'"&amp;Table17[[#This Row],[LENGTH]]),Table17[[#This Row],[LENGHT2]])&amp;"),"</f>
        <v>NOTE_FUNC VARCHAR(200),</v>
      </c>
    </row>
    <row r="50" spans="2:6" x14ac:dyDescent="0.2">
      <c r="B50" s="37" t="s">
        <v>465</v>
      </c>
      <c r="C50" s="14" t="s">
        <v>569</v>
      </c>
      <c r="D50" s="22">
        <v>200</v>
      </c>
      <c r="E50" s="15">
        <f>IF(Table17[[#This Row],[TYPE]]="ENUM",0,Table17[[#This Row],[LENGTH]])</f>
        <v>200</v>
      </c>
      <c r="F50" s="1" t="str">
        <f>Table17[[#This Row],[OB]]&amp;" "&amp;Table17[[#This Row],[TYPE]]&amp;"("&amp;IF(Table17[[#This Row],[TYPE]]="ENUM",("'"&amp;Table17[[#This Row],[LENGTH]]),Table17[[#This Row],[LENGHT2]])&amp;"),"</f>
        <v>HISTORY_PIC VARCHAR(200),</v>
      </c>
    </row>
    <row r="51" spans="2:6" x14ac:dyDescent="0.2">
      <c r="B51" s="37" t="s">
        <v>466</v>
      </c>
      <c r="C51" s="14" t="s">
        <v>569</v>
      </c>
      <c r="D51" s="22">
        <v>6</v>
      </c>
      <c r="E51" s="15">
        <f>IF(Table17[[#This Row],[TYPE]]="ENUM",0,Table17[[#This Row],[LENGTH]])</f>
        <v>6</v>
      </c>
      <c r="F51" s="1" t="str">
        <f>Table17[[#This Row],[OB]]&amp;" "&amp;Table17[[#This Row],[TYPE]]&amp;"("&amp;IF(Table17[[#This Row],[TYPE]]="ENUM",("'"&amp;Table17[[#This Row],[LENGTH]]),Table17[[#This Row],[LENGHT2]])&amp;"),"</f>
        <v>LOCATION VARCHAR(6),</v>
      </c>
    </row>
    <row r="52" spans="2:6" x14ac:dyDescent="0.2">
      <c r="B52" s="37" t="s">
        <v>467</v>
      </c>
      <c r="C52" s="14" t="s">
        <v>569</v>
      </c>
      <c r="D52" s="22">
        <v>100</v>
      </c>
      <c r="E52" s="15">
        <f>IF(Table17[[#This Row],[TYPE]]="ENUM",0,Table17[[#This Row],[LENGTH]])</f>
        <v>100</v>
      </c>
      <c r="F52" s="1" t="str">
        <f>Table17[[#This Row],[OB]]&amp;" "&amp;Table17[[#This Row],[TYPE]]&amp;"("&amp;IF(Table17[[#This Row],[TYPE]]="ENUM",("'"&amp;Table17[[#This Row],[LENGTH]]),Table17[[#This Row],[LENGHT2]])&amp;"),"</f>
        <v>NOTE_LOC VARCHAR(100),</v>
      </c>
    </row>
    <row r="53" spans="2:6" x14ac:dyDescent="0.2">
      <c r="B53" s="37" t="s">
        <v>279</v>
      </c>
      <c r="C53" s="14" t="s">
        <v>584</v>
      </c>
      <c r="D53" s="22">
        <v>6</v>
      </c>
      <c r="E53" s="15">
        <f>IF(Table17[[#This Row],[TYPE]]="ENUM",0,Table17[[#This Row],[LENGTH]])</f>
        <v>6</v>
      </c>
      <c r="F53" s="1" t="str">
        <f>Table17[[#This Row],[OB]]&amp;" "&amp;Table17[[#This Row],[TYPE]]&amp;"("&amp;IF(Table17[[#This Row],[TYPE]]="ENUM",("'"&amp;Table17[[#This Row],[LENGTH]]),Table17[[#This Row],[LENGHT2]])&amp;"),"</f>
        <v>PIC_NIP INT(6),</v>
      </c>
    </row>
    <row r="54" spans="2:6" x14ac:dyDescent="0.2">
      <c r="B54" s="37" t="s">
        <v>469</v>
      </c>
      <c r="C54" s="14" t="s">
        <v>569</v>
      </c>
      <c r="D54" s="22">
        <v>11</v>
      </c>
      <c r="E54" s="15">
        <f>IF(Table17[[#This Row],[TYPE]]="ENUM",0,Table17[[#This Row],[LENGTH]])</f>
        <v>11</v>
      </c>
      <c r="F54" s="1" t="str">
        <f>Table17[[#This Row],[OB]]&amp;" "&amp;Table17[[#This Row],[TYPE]]&amp;"("&amp;IF(Table17[[#This Row],[TYPE]]="ENUM",("'"&amp;Table17[[#This Row],[LENGTH]]),Table17[[#This Row],[LENGHT2]])&amp;"),"</f>
        <v>ID_MAINTENANCE VARCHAR(11),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C497-843E-4802-907E-72525D1613DA}">
  <sheetPr>
    <tabColor rgb="FFFFFF00"/>
  </sheetPr>
  <dimension ref="B2:U16"/>
  <sheetViews>
    <sheetView showGridLines="0" zoomScale="85" zoomScaleNormal="85" workbookViewId="0">
      <pane xSplit="5" ySplit="6" topLeftCell="F7" activePane="bottomRight" state="frozen"/>
      <selection activeCell="C9" sqref="C9"/>
      <selection pane="topRight" activeCell="C9" sqref="C9"/>
      <selection pane="bottomLeft" activeCell="C9" sqref="C9"/>
      <selection pane="bottomRight" activeCell="H18" sqref="H18"/>
    </sheetView>
  </sheetViews>
  <sheetFormatPr baseColWidth="10" defaultColWidth="8.83203125" defaultRowHeight="15" outlineLevelCol="1" x14ac:dyDescent="0.2"/>
  <cols>
    <col min="1" max="1" width="2.6640625" customWidth="1"/>
    <col min="2" max="2" width="8.1640625" customWidth="1"/>
    <col min="3" max="3" width="12.6640625" customWidth="1"/>
    <col min="4" max="4" width="8.1640625" customWidth="1"/>
    <col min="5" max="5" width="19.1640625" bestFit="1" customWidth="1"/>
    <col min="6" max="6" width="16.5" bestFit="1" customWidth="1"/>
    <col min="7" max="7" width="20.83203125" bestFit="1" customWidth="1"/>
    <col min="8" max="8" width="33.83203125" style="86" bestFit="1" customWidth="1"/>
    <col min="9" max="9" width="9.83203125" style="2" bestFit="1" customWidth="1"/>
    <col min="10" max="10" width="9.83203125" style="2" customWidth="1"/>
    <col min="11" max="11" width="47.83203125" bestFit="1" customWidth="1"/>
    <col min="12" max="12" width="27.6640625" customWidth="1"/>
    <col min="13" max="15" width="15.6640625" customWidth="1" outlineLevel="1"/>
    <col min="16" max="17" width="25.6640625" customWidth="1"/>
    <col min="18" max="18" width="19.83203125" bestFit="1" customWidth="1"/>
    <col min="19" max="19" width="18.1640625" customWidth="1"/>
    <col min="20" max="20" width="17" customWidth="1"/>
    <col min="21" max="21" width="50.6640625" customWidth="1"/>
  </cols>
  <sheetData>
    <row r="2" spans="2:21" ht="50" customHeight="1" x14ac:dyDescent="0.2">
      <c r="B2" s="106"/>
      <c r="C2" s="106"/>
      <c r="D2" s="106"/>
      <c r="E2" s="106"/>
    </row>
    <row r="3" spans="2:21" ht="16" x14ac:dyDescent="0.2">
      <c r="B3" s="107"/>
      <c r="C3" s="107"/>
      <c r="D3" s="107"/>
      <c r="E3" s="107"/>
    </row>
    <row r="4" spans="2:21" x14ac:dyDescent="0.2">
      <c r="B4" s="87" t="s">
        <v>1043</v>
      </c>
      <c r="C4" s="87"/>
      <c r="D4" s="87"/>
      <c r="E4" s="88">
        <f ca="1">TODAY()</f>
        <v>46199</v>
      </c>
    </row>
    <row r="5" spans="2:21" x14ac:dyDescent="0.2">
      <c r="B5" s="89" t="s">
        <v>1172</v>
      </c>
      <c r="C5" s="89"/>
      <c r="L5" s="89" t="s">
        <v>1172</v>
      </c>
      <c r="M5" s="108" t="s">
        <v>1173</v>
      </c>
      <c r="N5" s="108"/>
      <c r="O5" s="108"/>
      <c r="S5" s="109" t="s">
        <v>1172</v>
      </c>
      <c r="T5" s="109"/>
    </row>
    <row r="6" spans="2:21" s="97" customFormat="1" ht="16" x14ac:dyDescent="0.2">
      <c r="B6" s="90" t="s">
        <v>1174</v>
      </c>
      <c r="C6" s="90" t="s">
        <v>1175</v>
      </c>
      <c r="D6" s="91" t="s">
        <v>1176</v>
      </c>
      <c r="E6" s="92" t="s">
        <v>1177</v>
      </c>
      <c r="F6" s="92" t="s">
        <v>1178</v>
      </c>
      <c r="G6" s="92" t="s">
        <v>1179</v>
      </c>
      <c r="H6" s="93" t="s">
        <v>1180</v>
      </c>
      <c r="I6" s="92" t="s">
        <v>1181</v>
      </c>
      <c r="J6" s="92" t="s">
        <v>1182</v>
      </c>
      <c r="K6" s="92" t="s">
        <v>1183</v>
      </c>
      <c r="L6" s="94" t="s">
        <v>1184</v>
      </c>
      <c r="M6" s="95" t="s">
        <v>1185</v>
      </c>
      <c r="N6" s="95" t="s">
        <v>1186</v>
      </c>
      <c r="O6" s="95" t="s">
        <v>1187</v>
      </c>
      <c r="P6" s="92" t="s">
        <v>1188</v>
      </c>
      <c r="Q6" s="92" t="s">
        <v>1189</v>
      </c>
      <c r="R6" s="92" t="s">
        <v>1190</v>
      </c>
      <c r="S6" s="94" t="s">
        <v>1191</v>
      </c>
      <c r="T6" s="94" t="s">
        <v>1048</v>
      </c>
      <c r="U6" s="96" t="s">
        <v>1192</v>
      </c>
    </row>
    <row r="7" spans="2:21" ht="30" x14ac:dyDescent="0.2">
      <c r="B7" s="30" t="str">
        <f>IF(doc_O992425262728[[#This Row],[TGL_BUAT_BQ]]&lt;&gt;"","🚩","")</f>
        <v>🚩</v>
      </c>
      <c r="C7" s="30" t="str" cm="1">
        <f t="array" ref="C7">"O99"&amp;"-"&amp;
_xlfn.IFS(LEN(doc_O992425262728[[#This Row],[NO]])=1,"00"&amp;doc_O992425262728[[#This Row],[NO]],LEN(doc_O992425262728[[#This Row],[NO]])=2,"0"&amp;doc_O992425262728[[#This Row],[NO]],LEN(doc_O992425262728[[#This Row],[NO]])=3,doc_O992425262728[[#This Row],[NO]])&amp;
"-DOC"</f>
        <v>O99-001-DOC</v>
      </c>
      <c r="D7" s="30">
        <v>1</v>
      </c>
      <c r="E7" s="76">
        <v>45755</v>
      </c>
      <c r="F7" s="67" t="s">
        <v>232</v>
      </c>
      <c r="G7" s="43" t="s">
        <v>1193</v>
      </c>
      <c r="H7" s="43" t="s">
        <v>1194</v>
      </c>
      <c r="I7" s="15">
        <v>11</v>
      </c>
      <c r="J7" s="15" t="s">
        <v>1195</v>
      </c>
      <c r="K7" s="14" t="s">
        <v>1196</v>
      </c>
      <c r="L7" s="15" t="str" cm="1">
        <f t="array" ref="L7">_xlfn.IFS(OR(doc_O992425262728[[#This Row],[BQ_CHECK]]="REJECT",doc_O992425262728[[#This Row],[BQ_KNOWN]]="REJECT",doc_O992425262728[[#This Row],[BQ_APPROVAL]]="REJECT"),"CANCELLED",OR(doc_O992425262728[[#This Row],[BQ_CHECK]]="",doc_O992425262728[[#This Row],[BQ_KNOWN]]="",doc_O992425262728[[#This Row],[BQ_APPROVAL]]=""),"ON GOING",doc_O992425262728[[#This Row],[BQ_APPROVAL]]="SIGN","APPROVED")</f>
        <v>APPROVED</v>
      </c>
      <c r="M7" s="15" t="s">
        <v>1197</v>
      </c>
      <c r="N7" s="15" t="s">
        <v>1197</v>
      </c>
      <c r="O7" s="15" t="s">
        <v>1197</v>
      </c>
      <c r="P7" s="15" t="s">
        <v>1198</v>
      </c>
      <c r="Q7" s="15" t="s">
        <v>1199</v>
      </c>
      <c r="R7" s="76">
        <v>45796</v>
      </c>
      <c r="S7" s="15" t="str" cm="1">
        <f t="array" ref="S7">_xlfn.IFS(OR(doc_O992425262728[[#This Row],[SHIPPING DATE]]="X",doc_O992425262728[[#This Row],[NO. PO]]="X",doc_O992425262728[[#This Row],[NO.PR]]="X",doc_O992425262728[[#This Row],[BQ-STATUS_APPROVALS]]="CANCELLED"),"CANCELLED",
doc_O992425262728[[#This Row],[SHIPPING DATE]]&lt;&gt;"","SHIPPED",
AND(doc_O992425262728[[#This Row],[NO. PO]]&lt;&gt;"",doc_O992425262728[[#This Row],[NO.PR]]&lt;&gt;"",doc_O992425262728[[#This Row],[BQ-STATUS_APPROVALS]]="APPROVED"),"PO",
AND(doc_O992425262728[[#This Row],[BQ-STATUS_APPROVALS]]="APPROVED",OR(doc_O992425262728[[#This Row],[NO.PR]]&lt;&gt;"",doc_O992425262728[[#This Row],[NO.PR]]="")),"WPR",doc_O992425262728[[#This Row],[BQ-STATUS_APPROVALS]]&lt;&gt;"APPROVED","BOQ")</f>
        <v>SHIPPED</v>
      </c>
      <c r="T7" s="15" t="str" cm="1">
        <f t="array" ref="T7">_xlfn.IFS(doc_O992425262728[[#This Row],[LAST_DOC]]="SHIPPED","DONE",doc_O992425262728[[#This Row],[LAST_DOC]]="PO","PURCHASING",doc_O992425262728[[#This Row],[LAST_DOC]]="WPR","ADMIN IT",doc_O992425262728[[#This Row],[LAST_DOC]]="BOQ","IT",doc_O992425262728[[#This Row],[LAST_DOC]]="CANCELLED","CANCEL")</f>
        <v>DONE</v>
      </c>
      <c r="U7" s="98"/>
    </row>
    <row r="8" spans="2:21" ht="30" x14ac:dyDescent="0.2">
      <c r="B8" s="30" t="str">
        <f>IF(doc_O992425262728[[#This Row],[TGL_BUAT_BQ]]&lt;&gt;"","🚩","")</f>
        <v>🚩</v>
      </c>
      <c r="C8" s="30" t="str" cm="1">
        <f t="array" ref="C8">"O99"&amp;"-"&amp;
_xlfn.IFS(LEN(doc_O992425262728[[#This Row],[NO]])=1,"00"&amp;doc_O992425262728[[#This Row],[NO]],LEN(doc_O992425262728[[#This Row],[NO]])=2,"0"&amp;doc_O992425262728[[#This Row],[NO]],LEN(doc_O992425262728[[#This Row],[NO]])=3,doc_O992425262728[[#This Row],[NO]])&amp;
"-DOC"</f>
        <v>O99-002-DOC</v>
      </c>
      <c r="D8" s="30">
        <v>2</v>
      </c>
      <c r="E8" s="76">
        <v>45755</v>
      </c>
      <c r="F8" s="67" t="s">
        <v>232</v>
      </c>
      <c r="G8" s="43" t="s">
        <v>1200</v>
      </c>
      <c r="H8" s="43" t="s">
        <v>1201</v>
      </c>
      <c r="I8" s="15">
        <v>1</v>
      </c>
      <c r="J8" s="15" t="s">
        <v>1195</v>
      </c>
      <c r="K8" s="14" t="s">
        <v>1202</v>
      </c>
      <c r="L8" s="15" t="str" cm="1">
        <f t="array" ref="L8">_xlfn.IFS(OR(doc_O992425262728[[#This Row],[BQ_CHECK]]="REJECT",doc_O992425262728[[#This Row],[BQ_KNOWN]]="REJECT",doc_O992425262728[[#This Row],[BQ_APPROVAL]]="REJECT"),"CANCELLED",OR(doc_O992425262728[[#This Row],[BQ_CHECK]]="",doc_O992425262728[[#This Row],[BQ_KNOWN]]="",doc_O992425262728[[#This Row],[BQ_APPROVAL]]=""),"ON GOING",doc_O992425262728[[#This Row],[BQ_APPROVAL]]="SIGN","APPROVED")</f>
        <v>APPROVED</v>
      </c>
      <c r="M8" s="15" t="s">
        <v>1197</v>
      </c>
      <c r="N8" s="15" t="s">
        <v>1197</v>
      </c>
      <c r="O8" s="15" t="s">
        <v>1197</v>
      </c>
      <c r="P8" s="15"/>
      <c r="Q8" s="15"/>
      <c r="R8" s="76"/>
      <c r="S8" s="15" t="str" cm="1">
        <f t="array" ref="S8">_xlfn.IFS(OR(doc_O992425262728[[#This Row],[SHIPPING DATE]]="X",doc_O992425262728[[#This Row],[NO. PO]]="X",doc_O992425262728[[#This Row],[NO.PR]]="X",doc_O992425262728[[#This Row],[BQ-STATUS_APPROVALS]]="CANCELLED"),"CANCELLED",
doc_O992425262728[[#This Row],[SHIPPING DATE]]&lt;&gt;"","SHIPPED",
AND(doc_O992425262728[[#This Row],[NO. PO]]&lt;&gt;"",doc_O992425262728[[#This Row],[NO.PR]]&lt;&gt;"",doc_O992425262728[[#This Row],[BQ-STATUS_APPROVALS]]="APPROVED"),"PO",
AND(doc_O992425262728[[#This Row],[BQ-STATUS_APPROVALS]]="APPROVED",OR(doc_O992425262728[[#This Row],[NO.PR]]&lt;&gt;"",doc_O992425262728[[#This Row],[NO.PR]]="")),"WPR",doc_O992425262728[[#This Row],[BQ-STATUS_APPROVALS]]&lt;&gt;"APPROVED","BOQ")</f>
        <v>WPR</v>
      </c>
      <c r="T8" s="15" t="str" cm="1">
        <f t="array" ref="T8">_xlfn.IFS(doc_O992425262728[[#This Row],[LAST_DOC]]="SHIPPED","DONE",doc_O992425262728[[#This Row],[LAST_DOC]]="PO","PURCHASING",doc_O992425262728[[#This Row],[LAST_DOC]]="WPR","ADMIN IT",doc_O992425262728[[#This Row],[LAST_DOC]]="BOQ","IT",doc_O992425262728[[#This Row],[LAST_DOC]]="CANCELLED","CANCEL")</f>
        <v>ADMIN IT</v>
      </c>
      <c r="U8" s="98"/>
    </row>
    <row r="9" spans="2:21" ht="30" x14ac:dyDescent="0.2">
      <c r="B9" s="30" t="str">
        <f>IF(doc_O992425262728[[#This Row],[TGL_BUAT_BQ]]&lt;&gt;"","🚩","")</f>
        <v>🚩</v>
      </c>
      <c r="C9" s="30" t="str" cm="1">
        <f t="array" ref="C9">"O99"&amp;"-"&amp;
_xlfn.IFS(LEN(doc_O992425262728[[#This Row],[NO]])=1,"00"&amp;doc_O992425262728[[#This Row],[NO]],LEN(doc_O992425262728[[#This Row],[NO]])=2,"0"&amp;doc_O992425262728[[#This Row],[NO]],LEN(doc_O992425262728[[#This Row],[NO]])=3,doc_O992425262728[[#This Row],[NO]])&amp;
"-DOC"</f>
        <v>O99-003-DOC</v>
      </c>
      <c r="D9" s="30">
        <v>3</v>
      </c>
      <c r="E9" s="76">
        <v>45755</v>
      </c>
      <c r="F9" s="67" t="s">
        <v>232</v>
      </c>
      <c r="G9" s="43" t="s">
        <v>1203</v>
      </c>
      <c r="H9" s="43" t="s">
        <v>1204</v>
      </c>
      <c r="I9" s="15">
        <v>2</v>
      </c>
      <c r="J9" s="15" t="s">
        <v>1195</v>
      </c>
      <c r="K9" s="14" t="s">
        <v>1205</v>
      </c>
      <c r="L9" s="15" t="str" cm="1">
        <f t="array" ref="L9">_xlfn.IFS(OR(doc_O992425262728[[#This Row],[BQ_CHECK]]="REJECT",doc_O992425262728[[#This Row],[BQ_KNOWN]]="REJECT",doc_O992425262728[[#This Row],[BQ_APPROVAL]]="REJECT"),"CANCELLED",OR(doc_O992425262728[[#This Row],[BQ_CHECK]]="",doc_O992425262728[[#This Row],[BQ_KNOWN]]="",doc_O992425262728[[#This Row],[BQ_APPROVAL]]=""),"ON GOING",doc_O992425262728[[#This Row],[BQ_APPROVAL]]="SIGN","APPROVED")</f>
        <v>APPROVED</v>
      </c>
      <c r="M9" s="15" t="s">
        <v>1197</v>
      </c>
      <c r="N9" s="15" t="s">
        <v>1197</v>
      </c>
      <c r="O9" s="15" t="s">
        <v>1197</v>
      </c>
      <c r="P9" s="15"/>
      <c r="Q9" s="15"/>
      <c r="R9" s="76"/>
      <c r="S9" s="15" t="str" cm="1">
        <f t="array" ref="S9">_xlfn.IFS(OR(doc_O992425262728[[#This Row],[SHIPPING DATE]]="X",doc_O992425262728[[#This Row],[NO. PO]]="X",doc_O992425262728[[#This Row],[NO.PR]]="X",doc_O992425262728[[#This Row],[BQ-STATUS_APPROVALS]]="CANCELLED"),"CANCELLED",
doc_O992425262728[[#This Row],[SHIPPING DATE]]&lt;&gt;"","SHIPPED",
AND(doc_O992425262728[[#This Row],[NO. PO]]&lt;&gt;"",doc_O992425262728[[#This Row],[NO.PR]]&lt;&gt;"",doc_O992425262728[[#This Row],[BQ-STATUS_APPROVALS]]="APPROVED"),"PO",
AND(doc_O992425262728[[#This Row],[BQ-STATUS_APPROVALS]]="APPROVED",OR(doc_O992425262728[[#This Row],[NO.PR]]&lt;&gt;"",doc_O992425262728[[#This Row],[NO.PR]]="")),"WPR",doc_O992425262728[[#This Row],[BQ-STATUS_APPROVALS]]&lt;&gt;"APPROVED","BOQ")</f>
        <v>WPR</v>
      </c>
      <c r="T9" s="15" t="str" cm="1">
        <f t="array" ref="T9">_xlfn.IFS(doc_O992425262728[[#This Row],[LAST_DOC]]="SHIPPED","DONE",doc_O992425262728[[#This Row],[LAST_DOC]]="PO","PURCHASING",doc_O992425262728[[#This Row],[LAST_DOC]]="WPR","ADMIN IT",doc_O992425262728[[#This Row],[LAST_DOC]]="BOQ","IT",doc_O992425262728[[#This Row],[LAST_DOC]]="CANCELLED","CANCEL")</f>
        <v>ADMIN IT</v>
      </c>
      <c r="U9" s="98"/>
    </row>
    <row r="10" spans="2:21" x14ac:dyDescent="0.2">
      <c r="B10" s="30" t="str">
        <f>IF(doc_O992425262728[[#This Row],[TGL_BUAT_BQ]]&lt;&gt;"","🚩","")</f>
        <v>🚩</v>
      </c>
      <c r="C10" s="30" t="str" cm="1">
        <f t="array" ref="C10">"O99"&amp;"-"&amp;
_xlfn.IFS(LEN(doc_O992425262728[[#This Row],[NO]])=1,"00"&amp;doc_O992425262728[[#This Row],[NO]],LEN(doc_O992425262728[[#This Row],[NO]])=2,"0"&amp;doc_O992425262728[[#This Row],[NO]],LEN(doc_O992425262728[[#This Row],[NO]])=3,doc_O992425262728[[#This Row],[NO]])&amp;
"-DOC"</f>
        <v>O99-004-DOC</v>
      </c>
      <c r="D10" s="30">
        <v>4</v>
      </c>
      <c r="E10" s="76">
        <v>45943</v>
      </c>
      <c r="F10" s="67" t="s">
        <v>1206</v>
      </c>
      <c r="G10" s="43" t="s">
        <v>1207</v>
      </c>
      <c r="H10" s="43" t="s">
        <v>1208</v>
      </c>
      <c r="I10" s="15">
        <v>1</v>
      </c>
      <c r="J10" s="15" t="s">
        <v>1195</v>
      </c>
      <c r="K10" s="14" t="s">
        <v>1209</v>
      </c>
      <c r="L10" s="15" t="str" cm="1">
        <f t="array" ref="L10">_xlfn.IFS(OR(doc_O992425262728[[#This Row],[BQ_CHECK]]="REJECT",doc_O992425262728[[#This Row],[BQ_KNOWN]]="REJECT",doc_O992425262728[[#This Row],[BQ_APPROVAL]]="REJECT"),"CANCELLED",OR(doc_O992425262728[[#This Row],[BQ_CHECK]]="",doc_O992425262728[[#This Row],[BQ_KNOWN]]="",doc_O992425262728[[#This Row],[BQ_APPROVAL]]=""),"ON GOING",doc_O992425262728[[#This Row],[BQ_APPROVAL]]="SIGN","APPROVED")</f>
        <v>APPROVED</v>
      </c>
      <c r="M10" s="15" t="s">
        <v>1197</v>
      </c>
      <c r="N10" s="15" t="s">
        <v>1197</v>
      </c>
      <c r="O10" s="15" t="s">
        <v>1197</v>
      </c>
      <c r="P10" s="15"/>
      <c r="Q10" s="15"/>
      <c r="R10" s="76"/>
      <c r="S10" s="15" t="str" cm="1">
        <f t="array" ref="S10">_xlfn.IFS(OR(doc_O992425262728[[#This Row],[SHIPPING DATE]]="X",doc_O992425262728[[#This Row],[NO. PO]]="X",doc_O992425262728[[#This Row],[NO.PR]]="X",doc_O992425262728[[#This Row],[BQ-STATUS_APPROVALS]]="CANCELLED"),"CANCELLED",
doc_O992425262728[[#This Row],[SHIPPING DATE]]&lt;&gt;"","SHIPPED",
AND(doc_O992425262728[[#This Row],[NO. PO]]&lt;&gt;"",doc_O992425262728[[#This Row],[NO.PR]]&lt;&gt;"",doc_O992425262728[[#This Row],[BQ-STATUS_APPROVALS]]="APPROVED"),"PO",
AND(doc_O992425262728[[#This Row],[BQ-STATUS_APPROVALS]]="APPROVED",OR(doc_O992425262728[[#This Row],[NO.PR]]&lt;&gt;"",doc_O992425262728[[#This Row],[NO.PR]]="")),"WPR",doc_O992425262728[[#This Row],[BQ-STATUS_APPROVALS]]&lt;&gt;"APPROVED","BOQ")</f>
        <v>WPR</v>
      </c>
      <c r="T10" s="15" t="str" cm="1">
        <f t="array" ref="T10">_xlfn.IFS(doc_O992425262728[[#This Row],[LAST_DOC]]="SHIPPED","DONE",doc_O992425262728[[#This Row],[LAST_DOC]]="PO","PURCHASING",doc_O992425262728[[#This Row],[LAST_DOC]]="WPR","ADMIN IT",doc_O992425262728[[#This Row],[LAST_DOC]]="BOQ","IT",doc_O992425262728[[#This Row],[LAST_DOC]]="CANCELLED","CANCEL")</f>
        <v>ADMIN IT</v>
      </c>
      <c r="U10" s="99"/>
    </row>
    <row r="11" spans="2:21" ht="30" x14ac:dyDescent="0.2">
      <c r="B11" s="30" t="str">
        <f>IF(doc_O992425262728[[#This Row],[TGL_BUAT_BQ]]&lt;&gt;"","🚩","")</f>
        <v>🚩</v>
      </c>
      <c r="C11" s="30" t="str" cm="1">
        <f t="array" ref="C11">"O99"&amp;"-"&amp;
_xlfn.IFS(LEN(doc_O992425262728[[#This Row],[NO]])=1,"00"&amp;doc_O992425262728[[#This Row],[NO]],LEN(doc_O992425262728[[#This Row],[NO]])=2,"0"&amp;doc_O992425262728[[#This Row],[NO]],LEN(doc_O992425262728[[#This Row],[NO]])=3,doc_O992425262728[[#This Row],[NO]])&amp;
"-DOC"</f>
        <v>O99-005-DOC</v>
      </c>
      <c r="D11" s="30">
        <v>5</v>
      </c>
      <c r="E11" s="76">
        <v>45950</v>
      </c>
      <c r="F11" s="67" t="s">
        <v>1206</v>
      </c>
      <c r="G11" s="43" t="s">
        <v>1210</v>
      </c>
      <c r="H11" s="43" t="s">
        <v>1211</v>
      </c>
      <c r="I11" s="15">
        <v>1</v>
      </c>
      <c r="J11" s="15" t="s">
        <v>1195</v>
      </c>
      <c r="K11" s="14" t="s">
        <v>1212</v>
      </c>
      <c r="L11" s="15" t="str" cm="1">
        <f t="array" ref="L11">_xlfn.IFS(OR(doc_O992425262728[[#This Row],[BQ_CHECK]]="REJECT",doc_O992425262728[[#This Row],[BQ_KNOWN]]="REJECT",doc_O992425262728[[#This Row],[BQ_APPROVAL]]="REJECT"),"CANCELLED",OR(doc_O992425262728[[#This Row],[BQ_CHECK]]="",doc_O992425262728[[#This Row],[BQ_KNOWN]]="",doc_O992425262728[[#This Row],[BQ_APPROVAL]]=""),"ON GOING",doc_O992425262728[[#This Row],[BQ_APPROVAL]]="SIGN","APPROVED")</f>
        <v>APPROVED</v>
      </c>
      <c r="M11" s="15" t="s">
        <v>1197</v>
      </c>
      <c r="N11" s="15" t="s">
        <v>1197</v>
      </c>
      <c r="O11" s="15" t="s">
        <v>1197</v>
      </c>
      <c r="P11" s="15"/>
      <c r="Q11" s="15"/>
      <c r="R11" s="76"/>
      <c r="S11" s="15" t="str" cm="1">
        <f t="array" ref="S11">_xlfn.IFS(OR(doc_O992425262728[[#This Row],[SHIPPING DATE]]="X",doc_O992425262728[[#This Row],[NO. PO]]="X",doc_O992425262728[[#This Row],[NO.PR]]="X",doc_O992425262728[[#This Row],[BQ-STATUS_APPROVALS]]="CANCELLED"),"CANCELLED",
doc_O992425262728[[#This Row],[SHIPPING DATE]]&lt;&gt;"","SHIPPED",
AND(doc_O992425262728[[#This Row],[NO. PO]]&lt;&gt;"",doc_O992425262728[[#This Row],[NO.PR]]&lt;&gt;"",doc_O992425262728[[#This Row],[BQ-STATUS_APPROVALS]]="APPROVED"),"PO",
AND(doc_O992425262728[[#This Row],[BQ-STATUS_APPROVALS]]="APPROVED",OR(doc_O992425262728[[#This Row],[NO.PR]]&lt;&gt;"",doc_O992425262728[[#This Row],[NO.PR]]="")),"WPR",doc_O992425262728[[#This Row],[BQ-STATUS_APPROVALS]]&lt;&gt;"APPROVED","BOQ")</f>
        <v>WPR</v>
      </c>
      <c r="T11" s="15" t="str" cm="1">
        <f t="array" ref="T11">_xlfn.IFS(doc_O992425262728[[#This Row],[LAST_DOC]]="SHIPPED","DONE",doc_O992425262728[[#This Row],[LAST_DOC]]="PO","PURCHASING",doc_O992425262728[[#This Row],[LAST_DOC]]="WPR","ADMIN IT",doc_O992425262728[[#This Row],[LAST_DOC]]="BOQ","IT",doc_O992425262728[[#This Row],[LAST_DOC]]="CANCELLED","CANCEL")</f>
        <v>ADMIN IT</v>
      </c>
      <c r="U11" s="99"/>
    </row>
    <row r="12" spans="2:21" ht="60" x14ac:dyDescent="0.2">
      <c r="B12" s="30" t="str">
        <f>IF(doc_O992425262728[[#This Row],[TGL_BUAT_BQ]]&lt;&gt;"","🚩","")</f>
        <v>🚩</v>
      </c>
      <c r="C12" s="30" t="str" cm="1">
        <f t="array" ref="C12">"O99"&amp;"-"&amp;
_xlfn.IFS(LEN(doc_O992425262728[[#This Row],[NO]])=1,"00"&amp;doc_O992425262728[[#This Row],[NO]],LEN(doc_O992425262728[[#This Row],[NO]])=2,"0"&amp;doc_O992425262728[[#This Row],[NO]],LEN(doc_O992425262728[[#This Row],[NO]])=3,doc_O992425262728[[#This Row],[NO]])&amp;
"-DOC"</f>
        <v>O99-006-DOC</v>
      </c>
      <c r="D12" s="30">
        <v>6</v>
      </c>
      <c r="E12" s="76">
        <v>45924</v>
      </c>
      <c r="F12" s="67" t="s">
        <v>1206</v>
      </c>
      <c r="G12" s="43" t="s">
        <v>1213</v>
      </c>
      <c r="H12" s="43" t="s">
        <v>1214</v>
      </c>
      <c r="I12" s="15">
        <v>4</v>
      </c>
      <c r="J12" s="15" t="s">
        <v>1195</v>
      </c>
      <c r="K12" s="14" t="s">
        <v>1215</v>
      </c>
      <c r="L12" s="15" t="str" cm="1">
        <f t="array" ref="L12">_xlfn.IFS(OR(doc_O992425262728[[#This Row],[BQ_CHECK]]="REJECT",doc_O992425262728[[#This Row],[BQ_KNOWN]]="REJECT",doc_O992425262728[[#This Row],[BQ_APPROVAL]]="REJECT"),"CANCELLED",OR(doc_O992425262728[[#This Row],[BQ_CHECK]]="",doc_O992425262728[[#This Row],[BQ_KNOWN]]="",doc_O992425262728[[#This Row],[BQ_APPROVAL]]=""),"ON GOING",doc_O992425262728[[#This Row],[BQ_APPROVAL]]="SIGN","APPROVED")</f>
        <v>APPROVED</v>
      </c>
      <c r="M12" s="15" t="s">
        <v>1197</v>
      </c>
      <c r="N12" s="15" t="s">
        <v>1197</v>
      </c>
      <c r="O12" s="15" t="s">
        <v>1197</v>
      </c>
      <c r="P12" s="15"/>
      <c r="Q12" s="15"/>
      <c r="R12" s="76"/>
      <c r="S12" s="15" t="str" cm="1">
        <f t="array" ref="S12">_xlfn.IFS(OR(doc_O992425262728[[#This Row],[SHIPPING DATE]]="X",doc_O992425262728[[#This Row],[NO. PO]]="X",doc_O992425262728[[#This Row],[NO.PR]]="X",doc_O992425262728[[#This Row],[BQ-STATUS_APPROVALS]]="CANCELLED"),"CANCELLED",
doc_O992425262728[[#This Row],[SHIPPING DATE]]&lt;&gt;"","SHIPPED",
AND(doc_O992425262728[[#This Row],[NO. PO]]&lt;&gt;"",doc_O992425262728[[#This Row],[NO.PR]]&lt;&gt;"",doc_O992425262728[[#This Row],[BQ-STATUS_APPROVALS]]="APPROVED"),"PO",
AND(doc_O992425262728[[#This Row],[BQ-STATUS_APPROVALS]]="APPROVED",OR(doc_O992425262728[[#This Row],[NO.PR]]&lt;&gt;"",doc_O992425262728[[#This Row],[NO.PR]]="")),"WPR",doc_O992425262728[[#This Row],[BQ-STATUS_APPROVALS]]&lt;&gt;"APPROVED","BOQ")</f>
        <v>WPR</v>
      </c>
      <c r="T12" s="15" t="str" cm="1">
        <f t="array" ref="T12">_xlfn.IFS(doc_O992425262728[[#This Row],[LAST_DOC]]="SHIPPED","DONE",doc_O992425262728[[#This Row],[LAST_DOC]]="PO","PURCHASING",doc_O992425262728[[#This Row],[LAST_DOC]]="WPR","ADMIN IT",doc_O992425262728[[#This Row],[LAST_DOC]]="BOQ","IT",doc_O992425262728[[#This Row],[LAST_DOC]]="CANCELLED","CANCEL")</f>
        <v>ADMIN IT</v>
      </c>
      <c r="U12" s="99"/>
    </row>
    <row r="13" spans="2:21" x14ac:dyDescent="0.2">
      <c r="B13" s="30" t="str">
        <f>IF(doc_O992425262728[[#This Row],[TGL_BUAT_BQ]]&lt;&gt;"","🚩","")</f>
        <v>🚩</v>
      </c>
      <c r="C13" s="30" t="str" cm="1">
        <f t="array" ref="C13">"O99"&amp;"-"&amp;
_xlfn.IFS(LEN(doc_O992425262728[[#This Row],[NO]])=1,"00"&amp;doc_O992425262728[[#This Row],[NO]],LEN(doc_O992425262728[[#This Row],[NO]])=2,"0"&amp;doc_O992425262728[[#This Row],[NO]],LEN(doc_O992425262728[[#This Row],[NO]])=3,doc_O992425262728[[#This Row],[NO]])&amp;
"-DOC"</f>
        <v>O99-007-DOC</v>
      </c>
      <c r="D13" s="30">
        <v>7</v>
      </c>
      <c r="E13" s="76">
        <v>45975</v>
      </c>
      <c r="F13" s="67" t="s">
        <v>1206</v>
      </c>
      <c r="G13" s="43" t="s">
        <v>139</v>
      </c>
      <c r="H13" s="43" t="s">
        <v>1216</v>
      </c>
      <c r="I13" s="15">
        <v>12</v>
      </c>
      <c r="J13" s="15" t="s">
        <v>1217</v>
      </c>
      <c r="K13" s="14" t="s">
        <v>1218</v>
      </c>
      <c r="L13" s="15" t="str" cm="1">
        <f t="array" ref="L13">_xlfn.IFS(OR(doc_O992425262728[[#This Row],[BQ_CHECK]]="REJECT",doc_O992425262728[[#This Row],[BQ_KNOWN]]="REJECT",doc_O992425262728[[#This Row],[BQ_APPROVAL]]="REJECT"),"CANCELLED",OR(doc_O992425262728[[#This Row],[BQ_CHECK]]="",doc_O992425262728[[#This Row],[BQ_KNOWN]]="",doc_O992425262728[[#This Row],[BQ_APPROVAL]]=""),"ON GOING",doc_O992425262728[[#This Row],[BQ_APPROVAL]]="SIGN","APPROVED")</f>
        <v>APPROVED</v>
      </c>
      <c r="M13" s="15" t="s">
        <v>1197</v>
      </c>
      <c r="N13" s="15" t="s">
        <v>1197</v>
      </c>
      <c r="O13" s="15" t="s">
        <v>1197</v>
      </c>
      <c r="P13" s="15"/>
      <c r="Q13" s="15"/>
      <c r="R13" s="76"/>
      <c r="S13" s="15" t="str" cm="1">
        <f t="array" ref="S13">_xlfn.IFS(OR(doc_O992425262728[[#This Row],[SHIPPING DATE]]="X",doc_O992425262728[[#This Row],[NO. PO]]="X",doc_O992425262728[[#This Row],[NO.PR]]="X",doc_O992425262728[[#This Row],[BQ-STATUS_APPROVALS]]="CANCELLED"),"CANCELLED",
doc_O992425262728[[#This Row],[SHIPPING DATE]]&lt;&gt;"","SHIPPED",
AND(doc_O992425262728[[#This Row],[NO. PO]]&lt;&gt;"",doc_O992425262728[[#This Row],[NO.PR]]&lt;&gt;"",doc_O992425262728[[#This Row],[BQ-STATUS_APPROVALS]]="APPROVED"),"PO",
AND(doc_O992425262728[[#This Row],[BQ-STATUS_APPROVALS]]="APPROVED",OR(doc_O992425262728[[#This Row],[NO.PR]]&lt;&gt;"",doc_O992425262728[[#This Row],[NO.PR]]="")),"WPR",doc_O992425262728[[#This Row],[BQ-STATUS_APPROVALS]]&lt;&gt;"APPROVED","BOQ")</f>
        <v>WPR</v>
      </c>
      <c r="T13" s="15" t="str" cm="1">
        <f t="array" ref="T13">_xlfn.IFS(doc_O992425262728[[#This Row],[LAST_DOC]]="SHIPPED","DONE",doc_O992425262728[[#This Row],[LAST_DOC]]="PO","PURCHASING",doc_O992425262728[[#This Row],[LAST_DOC]]="WPR","ADMIN IT",doc_O992425262728[[#This Row],[LAST_DOC]]="BOQ","IT",doc_O992425262728[[#This Row],[LAST_DOC]]="CANCELLED","CANCEL")</f>
        <v>ADMIN IT</v>
      </c>
      <c r="U13" s="99"/>
    </row>
    <row r="14" spans="2:21" ht="30" x14ac:dyDescent="0.2">
      <c r="B14" s="30" t="str">
        <f>IF(doc_O992425262728[[#This Row],[TGL_BUAT_BQ]]&lt;&gt;"","🚩","")</f>
        <v>🚩</v>
      </c>
      <c r="C14" s="30" t="str" cm="1">
        <f t="array" ref="C14">"O99"&amp;"-"&amp;
_xlfn.IFS(LEN(doc_O992425262728[[#This Row],[NO]])=1,"00"&amp;doc_O992425262728[[#This Row],[NO]],LEN(doc_O992425262728[[#This Row],[NO]])=2,"0"&amp;doc_O992425262728[[#This Row],[NO]],LEN(doc_O992425262728[[#This Row],[NO]])=3,doc_O992425262728[[#This Row],[NO]])&amp;
"-DOC"</f>
        <v>O99-008-DOC</v>
      </c>
      <c r="D14" s="30">
        <v>8</v>
      </c>
      <c r="E14" s="76" t="s">
        <v>1219</v>
      </c>
      <c r="F14" s="67" t="s">
        <v>232</v>
      </c>
      <c r="G14" s="43" t="s">
        <v>1220</v>
      </c>
      <c r="H14" s="43" t="s">
        <v>1221</v>
      </c>
      <c r="I14" s="15">
        <v>12</v>
      </c>
      <c r="J14" s="15" t="s">
        <v>1217</v>
      </c>
      <c r="K14" s="14" t="s">
        <v>1222</v>
      </c>
      <c r="L14" s="15" t="str" cm="1">
        <f t="array" ref="L14">_xlfn.IFS(OR(doc_O992425262728[[#This Row],[BQ_CHECK]]="REJECT",doc_O992425262728[[#This Row],[BQ_KNOWN]]="REJECT",doc_O992425262728[[#This Row],[BQ_APPROVAL]]="REJECT"),"CANCELLED",OR(doc_O992425262728[[#This Row],[BQ_CHECK]]="",doc_O992425262728[[#This Row],[BQ_KNOWN]]="",doc_O992425262728[[#This Row],[BQ_APPROVAL]]=""),"ON GOING",doc_O992425262728[[#This Row],[BQ_APPROVAL]]="SIGN","APPROVED")</f>
        <v>APPROVED</v>
      </c>
      <c r="M14" s="15" t="s">
        <v>1197</v>
      </c>
      <c r="N14" s="15" t="s">
        <v>1197</v>
      </c>
      <c r="O14" s="15" t="s">
        <v>1197</v>
      </c>
      <c r="P14" s="15"/>
      <c r="Q14" s="15"/>
      <c r="R14" s="76"/>
      <c r="S14" s="15" t="str" cm="1">
        <f t="array" ref="S14">_xlfn.IFS(OR(doc_O992425262728[[#This Row],[SHIPPING DATE]]="X",doc_O992425262728[[#This Row],[NO. PO]]="X",doc_O992425262728[[#This Row],[NO.PR]]="X",doc_O992425262728[[#This Row],[BQ-STATUS_APPROVALS]]="CANCELLED"),"CANCELLED",
doc_O992425262728[[#This Row],[SHIPPING DATE]]&lt;&gt;"","SHIPPED",
AND(doc_O992425262728[[#This Row],[NO. PO]]&lt;&gt;"",doc_O992425262728[[#This Row],[NO.PR]]&lt;&gt;"",doc_O992425262728[[#This Row],[BQ-STATUS_APPROVALS]]="APPROVED"),"PO",
AND(doc_O992425262728[[#This Row],[BQ-STATUS_APPROVALS]]="APPROVED",OR(doc_O992425262728[[#This Row],[NO.PR]]&lt;&gt;"",doc_O992425262728[[#This Row],[NO.PR]]="")),"WPR",doc_O992425262728[[#This Row],[BQ-STATUS_APPROVALS]]&lt;&gt;"APPROVED","BOQ")</f>
        <v>WPR</v>
      </c>
      <c r="T14" s="15" t="str" cm="1">
        <f t="array" ref="T14">_xlfn.IFS(doc_O992425262728[[#This Row],[LAST_DOC]]="SHIPPED","DONE",doc_O992425262728[[#This Row],[LAST_DOC]]="PO","PURCHASING",doc_O992425262728[[#This Row],[LAST_DOC]]="WPR","ADMIN IT",doc_O992425262728[[#This Row],[LAST_DOC]]="BOQ","IT",doc_O992425262728[[#This Row],[LAST_DOC]]="CANCELLED","CANCEL")</f>
        <v>ADMIN IT</v>
      </c>
      <c r="U14" s="99"/>
    </row>
    <row r="15" spans="2:21" ht="45" x14ac:dyDescent="0.2">
      <c r="B15" s="30" t="str">
        <f>IF(doc_O992425262728[[#This Row],[TGL_BUAT_BQ]]&lt;&gt;"","🚩","")</f>
        <v>🚩</v>
      </c>
      <c r="C15" s="30" t="str" cm="1">
        <f t="array" ref="C15">"O99"&amp;"-"&amp;
_xlfn.IFS(LEN(doc_O992425262728[[#This Row],[NO]])=1,"00"&amp;doc_O992425262728[[#This Row],[NO]],LEN(doc_O992425262728[[#This Row],[NO]])=2,"0"&amp;doc_O992425262728[[#This Row],[NO]],LEN(doc_O992425262728[[#This Row],[NO]])=3,doc_O992425262728[[#This Row],[NO]])&amp;
"-DOC"</f>
        <v>O99-009-DOC</v>
      </c>
      <c r="D15" s="30">
        <v>9</v>
      </c>
      <c r="E15" s="76">
        <v>45979</v>
      </c>
      <c r="F15" s="67" t="s">
        <v>1206</v>
      </c>
      <c r="G15" s="43" t="s">
        <v>1223</v>
      </c>
      <c r="H15" s="43" t="s">
        <v>1224</v>
      </c>
      <c r="I15" s="15">
        <v>3</v>
      </c>
      <c r="J15" s="15" t="s">
        <v>1195</v>
      </c>
      <c r="K15" s="14" t="s">
        <v>1225</v>
      </c>
      <c r="L15" s="15" t="str" cm="1">
        <f t="array" ref="L15">_xlfn.IFS(OR(doc_O992425262728[[#This Row],[BQ_CHECK]]="REJECT",doc_O992425262728[[#This Row],[BQ_KNOWN]]="REJECT",doc_O992425262728[[#This Row],[BQ_APPROVAL]]="REJECT"),"CANCELLED",OR(doc_O992425262728[[#This Row],[BQ_CHECK]]="",doc_O992425262728[[#This Row],[BQ_KNOWN]]="",doc_O992425262728[[#This Row],[BQ_APPROVAL]]=""),"ON GOING",doc_O992425262728[[#This Row],[BQ_APPROVAL]]="SIGN","APPROVED")</f>
        <v>ON GOING</v>
      </c>
      <c r="M15" s="15" t="s">
        <v>1197</v>
      </c>
      <c r="N15" s="15"/>
      <c r="O15" s="15"/>
      <c r="P15" s="15"/>
      <c r="Q15" s="15"/>
      <c r="R15" s="76"/>
      <c r="S15" s="15" t="str" cm="1">
        <f t="array" ref="S15">_xlfn.IFS(OR(doc_O992425262728[[#This Row],[SHIPPING DATE]]="X",doc_O992425262728[[#This Row],[NO. PO]]="X",doc_O992425262728[[#This Row],[NO.PR]]="X",doc_O992425262728[[#This Row],[BQ-STATUS_APPROVALS]]="CANCELLED"),"CANCELLED",
doc_O992425262728[[#This Row],[SHIPPING DATE]]&lt;&gt;"","SHIPPED",
AND(doc_O992425262728[[#This Row],[NO. PO]]&lt;&gt;"",doc_O992425262728[[#This Row],[NO.PR]]&lt;&gt;"",doc_O992425262728[[#This Row],[BQ-STATUS_APPROVALS]]="APPROVED"),"PO",
AND(doc_O992425262728[[#This Row],[BQ-STATUS_APPROVALS]]="APPROVED",OR(doc_O992425262728[[#This Row],[NO.PR]]&lt;&gt;"",doc_O992425262728[[#This Row],[NO.PR]]="")),"WPR",doc_O992425262728[[#This Row],[BQ-STATUS_APPROVALS]]&lt;&gt;"APPROVED","BOQ")</f>
        <v>BOQ</v>
      </c>
      <c r="T15" s="15" t="str" cm="1">
        <f t="array" ref="T15">_xlfn.IFS(doc_O992425262728[[#This Row],[LAST_DOC]]="SHIPPED","DONE",doc_O992425262728[[#This Row],[LAST_DOC]]="PO","PURCHASING",doc_O992425262728[[#This Row],[LAST_DOC]]="WPR","ADMIN IT",doc_O992425262728[[#This Row],[LAST_DOC]]="BOQ","IT",doc_O992425262728[[#This Row],[LAST_DOC]]="CANCELLED","CANCEL")</f>
        <v>IT</v>
      </c>
      <c r="U15" s="99"/>
    </row>
    <row r="16" spans="2:21" x14ac:dyDescent="0.2">
      <c r="B16" s="30" t="str">
        <f>IF(doc_O992425262728[[#This Row],[TGL_BUAT_BQ]]&lt;&gt;"","🚩","")</f>
        <v>🚩</v>
      </c>
      <c r="C16" s="30" t="str" cm="1">
        <f t="array" ref="C16">"O99"&amp;"-"&amp;
_xlfn.IFS(LEN(doc_O992425262728[[#This Row],[NO]])=1,"00"&amp;doc_O992425262728[[#This Row],[NO]],LEN(doc_O992425262728[[#This Row],[NO]])=2,"0"&amp;doc_O992425262728[[#This Row],[NO]],LEN(doc_O992425262728[[#This Row],[NO]])=3,doc_O992425262728[[#This Row],[NO]])&amp;
"-DOC"</f>
        <v>O99-010-DOC</v>
      </c>
      <c r="D16" s="30">
        <v>10</v>
      </c>
      <c r="E16" s="76">
        <v>45979</v>
      </c>
      <c r="F16" s="67" t="s">
        <v>1226</v>
      </c>
      <c r="G16" s="43"/>
      <c r="H16" s="43"/>
      <c r="I16" s="15"/>
      <c r="J16" s="15"/>
      <c r="K16" s="14"/>
      <c r="L16" s="15" t="str" cm="1">
        <f t="array" ref="L16">_xlfn.IFS(OR(doc_O992425262728[[#This Row],[BQ_CHECK]]="REJECT",doc_O992425262728[[#This Row],[BQ_KNOWN]]="REJECT",doc_O992425262728[[#This Row],[BQ_APPROVAL]]="REJECT"),"CANCELLED",OR(doc_O992425262728[[#This Row],[BQ_CHECK]]="",doc_O992425262728[[#This Row],[BQ_KNOWN]]="",doc_O992425262728[[#This Row],[BQ_APPROVAL]]=""),"ON GOING",doc_O992425262728[[#This Row],[BQ_APPROVAL]]="SIGN","APPROVED")</f>
        <v>ON GOING</v>
      </c>
      <c r="M16" s="15"/>
      <c r="N16" s="15"/>
      <c r="O16" s="15"/>
      <c r="P16" s="15"/>
      <c r="Q16" s="15"/>
      <c r="R16" s="76"/>
      <c r="S16" s="15" t="str" cm="1">
        <f t="array" ref="S16">_xlfn.IFS(OR(doc_O992425262728[[#This Row],[SHIPPING DATE]]="X",doc_O992425262728[[#This Row],[NO. PO]]="X",doc_O992425262728[[#This Row],[NO.PR]]="X",doc_O992425262728[[#This Row],[BQ-STATUS_APPROVALS]]="CANCELLED"),"CANCELLED",
doc_O992425262728[[#This Row],[SHIPPING DATE]]&lt;&gt;"","SHIPPED",
AND(doc_O992425262728[[#This Row],[NO. PO]]&lt;&gt;"",doc_O992425262728[[#This Row],[NO.PR]]&lt;&gt;"",doc_O992425262728[[#This Row],[BQ-STATUS_APPROVALS]]="APPROVED"),"PO",
AND(doc_O992425262728[[#This Row],[BQ-STATUS_APPROVALS]]="APPROVED",OR(doc_O992425262728[[#This Row],[NO.PR]]&lt;&gt;"",doc_O992425262728[[#This Row],[NO.PR]]="")),"WPR",doc_O992425262728[[#This Row],[BQ-STATUS_APPROVALS]]&lt;&gt;"APPROVED","BOQ")</f>
        <v>BOQ</v>
      </c>
      <c r="T16" s="15" t="str" cm="1">
        <f t="array" ref="T16">_xlfn.IFS(doc_O992425262728[[#This Row],[LAST_DOC]]="SHIPPED","DONE",doc_O992425262728[[#This Row],[LAST_DOC]]="PO","PURCHASING",doc_O992425262728[[#This Row],[LAST_DOC]]="WPR","ADMIN IT",doc_O992425262728[[#This Row],[LAST_DOC]]="BOQ","IT",doc_O992425262728[[#This Row],[LAST_DOC]]="CANCELLED","CANCEL")</f>
        <v>IT</v>
      </c>
      <c r="U16" s="99"/>
    </row>
  </sheetData>
  <mergeCells count="4">
    <mergeCell ref="B2:E2"/>
    <mergeCell ref="B3:E3"/>
    <mergeCell ref="M5:O5"/>
    <mergeCell ref="S5:T5"/>
  </mergeCells>
  <conditionalFormatting sqref="B7:T16">
    <cfRule type="expression" dxfId="10" priority="1">
      <formula>ISNUMBER(SEARCH("CANCEL",$T7))</formula>
    </cfRule>
    <cfRule type="expression" dxfId="9" priority="2">
      <formula>ISNUMBER(SEARCH("ADMIN",$T7))</formula>
    </cfRule>
    <cfRule type="expression" dxfId="8" priority="3">
      <formula>ISNUMBER(SEARCH("IT",$T7))</formula>
    </cfRule>
    <cfRule type="expression" dxfId="7" priority="4">
      <formula>ISNUMBER(SEARCH("DONE",$T7))</formula>
    </cfRule>
  </conditionalFormatting>
  <conditionalFormatting sqref="K7:K16">
    <cfRule type="duplicateValues" dxfId="6" priority="5"/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93C3-589B-2549-9446-360775A2E0FF}">
  <sheetPr>
    <tabColor rgb="FF00FF00"/>
  </sheetPr>
  <dimension ref="B4:R5"/>
  <sheetViews>
    <sheetView zoomScale="85" zoomScaleNormal="85" workbookViewId="0">
      <selection activeCell="I14" sqref="I14"/>
    </sheetView>
  </sheetViews>
  <sheetFormatPr baseColWidth="10" defaultColWidth="8.83203125" defaultRowHeight="15" x14ac:dyDescent="0.2"/>
  <cols>
    <col min="1" max="1" width="2.6640625" customWidth="1"/>
    <col min="2" max="2" width="26.6640625" bestFit="1" customWidth="1"/>
    <col min="3" max="3" width="16" bestFit="1" customWidth="1"/>
    <col min="4" max="4" width="16" customWidth="1"/>
    <col min="5" max="7" width="15.83203125" customWidth="1"/>
    <col min="8" max="8" width="64.6640625" bestFit="1" customWidth="1"/>
    <col min="9" max="9" width="64.6640625" customWidth="1"/>
    <col min="10" max="10" width="48" bestFit="1" customWidth="1"/>
    <col min="11" max="12" width="44.6640625" customWidth="1"/>
    <col min="13" max="14" width="20.83203125" customWidth="1"/>
    <col min="15" max="16" width="15.83203125" customWidth="1"/>
    <col min="17" max="17" width="9.83203125" bestFit="1" customWidth="1"/>
    <col min="18" max="18" width="31.6640625" bestFit="1" customWidth="1"/>
  </cols>
  <sheetData>
    <row r="4" spans="2:18" x14ac:dyDescent="0.2">
      <c r="B4" s="3" t="s">
        <v>1227</v>
      </c>
      <c r="C4" s="3" t="s">
        <v>1230</v>
      </c>
      <c r="D4" s="3" t="s">
        <v>1241</v>
      </c>
      <c r="E4" s="3" t="s">
        <v>1023</v>
      </c>
      <c r="F4" s="3" t="s">
        <v>1013</v>
      </c>
      <c r="G4" s="3" t="s">
        <v>742</v>
      </c>
      <c r="H4" s="3" t="s">
        <v>1228</v>
      </c>
      <c r="I4" s="3" t="s">
        <v>1239</v>
      </c>
      <c r="J4" s="3" t="s">
        <v>1242</v>
      </c>
      <c r="K4" s="3" t="s">
        <v>1231</v>
      </c>
      <c r="L4" s="3" t="s">
        <v>662</v>
      </c>
      <c r="M4" s="3" t="s">
        <v>1233</v>
      </c>
      <c r="N4" s="3" t="s">
        <v>744</v>
      </c>
      <c r="O4" s="3" t="s">
        <v>1234</v>
      </c>
      <c r="P4" s="3" t="s">
        <v>680</v>
      </c>
      <c r="Q4" s="3" t="s">
        <v>1235</v>
      </c>
      <c r="R4" s="3" t="s">
        <v>1236</v>
      </c>
    </row>
    <row r="5" spans="2:18" x14ac:dyDescent="0.2">
      <c r="B5" s="5" t="s">
        <v>1238</v>
      </c>
      <c r="C5" s="5">
        <v>221489</v>
      </c>
      <c r="D5" s="5"/>
      <c r="E5" s="101" t="s">
        <v>1015</v>
      </c>
      <c r="F5" s="101" t="s">
        <v>961</v>
      </c>
      <c r="G5" s="101" t="s">
        <v>255</v>
      </c>
      <c r="H5" s="1" t="s">
        <v>1229</v>
      </c>
      <c r="I5" s="1" t="s">
        <v>1240</v>
      </c>
      <c r="J5" s="1"/>
      <c r="K5" s="1"/>
      <c r="L5" s="102" t="s">
        <v>1232</v>
      </c>
      <c r="M5" s="4" t="s">
        <v>1198</v>
      </c>
      <c r="N5" s="4" t="s">
        <v>1199</v>
      </c>
      <c r="O5" s="100">
        <v>45796</v>
      </c>
      <c r="P5" s="100">
        <v>45755</v>
      </c>
      <c r="Q5" s="102">
        <f>NETWORKDAYS(LEVEL10111523[[#This Row],[create_date]],LEVEL10111523[[#This Row],[date_ship]])</f>
        <v>30</v>
      </c>
      <c r="R5" s="102" t="s">
        <v>1237</v>
      </c>
    </row>
  </sheetData>
  <phoneticPr fontId="3" type="noConversion"/>
  <conditionalFormatting sqref="B5:E5">
    <cfRule type="duplicateValues" dxfId="5" priority="6"/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DA34-AFCA-A14D-B3EA-412CF0D042BD}">
  <sheetPr>
    <tabColor rgb="FF00FF00"/>
  </sheetPr>
  <dimension ref="B3:Q5"/>
  <sheetViews>
    <sheetView zoomScale="85" zoomScaleNormal="85" workbookViewId="0">
      <selection activeCell="I10" sqref="I10"/>
    </sheetView>
  </sheetViews>
  <sheetFormatPr baseColWidth="10" defaultColWidth="8.83203125" defaultRowHeight="15" x14ac:dyDescent="0.2"/>
  <cols>
    <col min="1" max="1" width="2.6640625" customWidth="1"/>
    <col min="2" max="2" width="25.5" bestFit="1" customWidth="1"/>
    <col min="3" max="3" width="15.6640625" bestFit="1" customWidth="1"/>
    <col min="4" max="4" width="17.5" bestFit="1" customWidth="1"/>
    <col min="5" max="5" width="14.33203125" bestFit="1" customWidth="1"/>
    <col min="6" max="6" width="14.5" bestFit="1" customWidth="1"/>
    <col min="7" max="7" width="17.1640625" bestFit="1" customWidth="1"/>
    <col min="8" max="8" width="14.5" bestFit="1" customWidth="1"/>
    <col min="9" max="9" width="14.33203125" bestFit="1" customWidth="1"/>
    <col min="10" max="10" width="19.5" bestFit="1" customWidth="1"/>
    <col min="11" max="11" width="23.6640625" bestFit="1" customWidth="1"/>
    <col min="12" max="12" width="15.33203125" bestFit="1" customWidth="1"/>
    <col min="13" max="13" width="15.83203125" bestFit="1" customWidth="1"/>
    <col min="14" max="14" width="14.5" bestFit="1" customWidth="1"/>
    <col min="15" max="15" width="16" bestFit="1" customWidth="1"/>
    <col min="16" max="16" width="9.83203125" bestFit="1" customWidth="1"/>
    <col min="17" max="17" width="27.5" bestFit="1" customWidth="1"/>
  </cols>
  <sheetData>
    <row r="3" spans="2:17" ht="48" x14ac:dyDescent="0.2">
      <c r="B3" s="86" t="s">
        <v>1248</v>
      </c>
      <c r="C3" s="103" t="s">
        <v>1249</v>
      </c>
      <c r="D3" s="86" t="s">
        <v>1250</v>
      </c>
      <c r="E3" s="103" t="s">
        <v>1243</v>
      </c>
      <c r="F3" s="86" t="s">
        <v>1244</v>
      </c>
      <c r="G3" s="86" t="s">
        <v>1244</v>
      </c>
      <c r="H3" s="86" t="s">
        <v>1244</v>
      </c>
      <c r="I3" s="103" t="s">
        <v>1252</v>
      </c>
    </row>
    <row r="4" spans="2:17" x14ac:dyDescent="0.2">
      <c r="B4" s="3" t="s">
        <v>1233</v>
      </c>
      <c r="C4" s="3" t="s">
        <v>1230</v>
      </c>
      <c r="D4" s="3" t="s">
        <v>1241</v>
      </c>
      <c r="E4" s="3" t="s">
        <v>1227</v>
      </c>
      <c r="F4" s="3" t="s">
        <v>1023</v>
      </c>
      <c r="G4" s="3" t="s">
        <v>1013</v>
      </c>
      <c r="H4" s="3" t="s">
        <v>742</v>
      </c>
      <c r="I4" s="3" t="s">
        <v>1246</v>
      </c>
      <c r="J4" s="3" t="s">
        <v>1245</v>
      </c>
      <c r="K4" s="3" t="s">
        <v>1247</v>
      </c>
      <c r="L4" s="3" t="s">
        <v>1168</v>
      </c>
      <c r="M4" s="3" t="s">
        <v>744</v>
      </c>
      <c r="N4" s="3" t="s">
        <v>1234</v>
      </c>
      <c r="O4" s="3" t="s">
        <v>680</v>
      </c>
      <c r="P4" s="3" t="s">
        <v>1235</v>
      </c>
      <c r="Q4" s="3" t="s">
        <v>1251</v>
      </c>
    </row>
    <row r="5" spans="2:17" x14ac:dyDescent="0.2">
      <c r="B5" s="5" t="s">
        <v>1198</v>
      </c>
      <c r="C5" s="5">
        <v>221489</v>
      </c>
      <c r="D5" s="5" t="s">
        <v>232</v>
      </c>
      <c r="E5" s="5"/>
      <c r="F5" s="101" t="s">
        <v>1015</v>
      </c>
      <c r="G5" s="101" t="s">
        <v>961</v>
      </c>
      <c r="H5" s="101" t="s">
        <v>379</v>
      </c>
      <c r="I5" s="101" t="s">
        <v>568</v>
      </c>
      <c r="J5" s="1"/>
      <c r="K5" s="1"/>
      <c r="L5" s="102"/>
      <c r="M5" s="4" t="s">
        <v>1199</v>
      </c>
      <c r="N5" s="100">
        <v>45796</v>
      </c>
      <c r="O5" s="100">
        <v>45755</v>
      </c>
      <c r="P5" s="102">
        <f>NETWORKDAYS(LEVEL1011152324[[#This Row],[create_date]],LEVEL1011152324[[#This Row],[date_ship]])</f>
        <v>30</v>
      </c>
      <c r="Q5" s="102" t="s">
        <v>1237</v>
      </c>
    </row>
  </sheetData>
  <conditionalFormatting sqref="B5:F5">
    <cfRule type="duplicateValues" dxfId="4" priority="1"/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EED7-38BA-AF49-BC99-8C2D4C02E9B1}">
  <sheetPr>
    <tabColor rgb="FF00FF00"/>
  </sheetPr>
  <dimension ref="B3:L5"/>
  <sheetViews>
    <sheetView zoomScale="85" zoomScaleNormal="85" workbookViewId="0">
      <selection activeCell="J3" sqref="J3"/>
    </sheetView>
  </sheetViews>
  <sheetFormatPr baseColWidth="10" defaultColWidth="8.83203125" defaultRowHeight="15" x14ac:dyDescent="0.2"/>
  <cols>
    <col min="1" max="1" width="2.6640625" customWidth="1"/>
    <col min="2" max="2" width="25.5" bestFit="1" customWidth="1"/>
    <col min="3" max="3" width="15.6640625" bestFit="1" customWidth="1"/>
    <col min="4" max="4" width="17.5" bestFit="1" customWidth="1"/>
    <col min="5" max="5" width="14.33203125" bestFit="1" customWidth="1"/>
    <col min="6" max="6" width="14.5" bestFit="1" customWidth="1"/>
    <col min="7" max="7" width="17.1640625" bestFit="1" customWidth="1"/>
    <col min="8" max="8" width="14.5" bestFit="1" customWidth="1"/>
    <col min="9" max="9" width="14.33203125" bestFit="1" customWidth="1"/>
    <col min="10" max="10" width="19.5" bestFit="1" customWidth="1"/>
    <col min="11" max="11" width="14.5" bestFit="1" customWidth="1"/>
    <col min="12" max="12" width="27.5" bestFit="1" customWidth="1"/>
  </cols>
  <sheetData>
    <row r="3" spans="2:12" ht="48" x14ac:dyDescent="0.2">
      <c r="B3" s="86" t="s">
        <v>1248</v>
      </c>
      <c r="C3" s="103" t="s">
        <v>1249</v>
      </c>
      <c r="D3" s="86" t="s">
        <v>1250</v>
      </c>
      <c r="E3" s="103" t="s">
        <v>1254</v>
      </c>
      <c r="F3" s="86" t="s">
        <v>1255</v>
      </c>
      <c r="G3" s="86" t="s">
        <v>1255</v>
      </c>
      <c r="H3" s="86" t="s">
        <v>1255</v>
      </c>
      <c r="I3" s="86" t="s">
        <v>1255</v>
      </c>
    </row>
    <row r="4" spans="2:12" x14ac:dyDescent="0.2">
      <c r="B4" s="3" t="s">
        <v>744</v>
      </c>
      <c r="C4" s="3" t="s">
        <v>1230</v>
      </c>
      <c r="D4" s="3" t="s">
        <v>1241</v>
      </c>
      <c r="E4" s="3" t="s">
        <v>1233</v>
      </c>
      <c r="F4" s="3" t="s">
        <v>1023</v>
      </c>
      <c r="G4" s="3" t="s">
        <v>1013</v>
      </c>
      <c r="H4" s="3" t="s">
        <v>742</v>
      </c>
      <c r="I4" s="3" t="s">
        <v>1246</v>
      </c>
      <c r="J4" s="3" t="s">
        <v>1253</v>
      </c>
      <c r="K4" s="3" t="s">
        <v>1234</v>
      </c>
      <c r="L4" s="3" t="s">
        <v>1251</v>
      </c>
    </row>
    <row r="5" spans="2:12" x14ac:dyDescent="0.2">
      <c r="B5" s="5" t="s">
        <v>1199</v>
      </c>
      <c r="C5" s="5">
        <v>221489</v>
      </c>
      <c r="D5" s="5" t="s">
        <v>232</v>
      </c>
      <c r="E5" s="5"/>
      <c r="F5" s="101" t="s">
        <v>1015</v>
      </c>
      <c r="G5" s="101" t="s">
        <v>961</v>
      </c>
      <c r="H5" s="101" t="s">
        <v>379</v>
      </c>
      <c r="I5" s="101" t="s">
        <v>568</v>
      </c>
      <c r="J5" s="1"/>
      <c r="K5" s="100">
        <v>45796</v>
      </c>
      <c r="L5" s="102"/>
    </row>
  </sheetData>
  <conditionalFormatting sqref="B5:F5">
    <cfRule type="duplicateValues" dxfId="3" priority="1"/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B72F-B384-408E-90F9-E34AD5AF88B5}">
  <sheetPr>
    <tabColor rgb="FFFFFF00"/>
  </sheetPr>
  <dimension ref="B5:W24"/>
  <sheetViews>
    <sheetView showGridLines="0" zoomScale="85" zoomScaleNormal="85" workbookViewId="0">
      <selection activeCell="C9" sqref="C9"/>
    </sheetView>
  </sheetViews>
  <sheetFormatPr baseColWidth="10" defaultColWidth="8.83203125" defaultRowHeight="15" outlineLevelCol="1" x14ac:dyDescent="0.2"/>
  <cols>
    <col min="1" max="1" width="2.6640625" customWidth="1"/>
    <col min="2" max="2" width="6.5" customWidth="1"/>
    <col min="3" max="3" width="25" bestFit="1" customWidth="1"/>
    <col min="4" max="4" width="10.6640625" bestFit="1" customWidth="1"/>
    <col min="5" max="5" width="7.83203125" bestFit="1" customWidth="1"/>
    <col min="6" max="6" width="10.5" customWidth="1"/>
    <col min="7" max="7" width="15.5" bestFit="1" customWidth="1"/>
    <col min="8" max="8" width="17" bestFit="1" customWidth="1"/>
    <col min="9" max="9" width="11.33203125" bestFit="1" customWidth="1"/>
    <col min="10" max="10" width="27.5" bestFit="1" customWidth="1"/>
    <col min="11" max="12" width="10.83203125" customWidth="1"/>
    <col min="13" max="13" width="22" bestFit="1" customWidth="1"/>
    <col min="14" max="15" width="8.83203125" customWidth="1" outlineLevel="1"/>
    <col min="16" max="16" width="20.6640625" customWidth="1" outlineLevel="1"/>
    <col min="17" max="17" width="20.6640625" customWidth="1"/>
    <col min="18" max="18" width="11.5" customWidth="1" outlineLevel="1"/>
    <col min="19" max="19" width="20.83203125" customWidth="1" outlineLevel="1"/>
    <col min="20" max="21" width="20.83203125" customWidth="1"/>
    <col min="22" max="22" width="15.6640625" bestFit="1" customWidth="1"/>
    <col min="23" max="23" width="19.5" bestFit="1" customWidth="1"/>
  </cols>
  <sheetData>
    <row r="5" spans="2:23" x14ac:dyDescent="0.2">
      <c r="B5" s="23" t="s">
        <v>1042</v>
      </c>
      <c r="C5" s="24" t="s">
        <v>1159</v>
      </c>
      <c r="D5" s="24" t="s">
        <v>1160</v>
      </c>
      <c r="E5" s="24" t="s">
        <v>1161</v>
      </c>
      <c r="F5" s="24" t="s">
        <v>1162</v>
      </c>
      <c r="G5" s="24" t="s">
        <v>683</v>
      </c>
      <c r="H5" s="71" t="s">
        <v>685</v>
      </c>
      <c r="I5" s="71" t="s">
        <v>684</v>
      </c>
      <c r="J5" s="71" t="s">
        <v>1163</v>
      </c>
      <c r="K5" s="71" t="s">
        <v>1164</v>
      </c>
      <c r="L5" s="71" t="s">
        <v>1165</v>
      </c>
      <c r="M5" s="71" t="s">
        <v>1044</v>
      </c>
      <c r="N5" s="24" t="s">
        <v>742</v>
      </c>
      <c r="O5" s="24" t="s">
        <v>673</v>
      </c>
      <c r="P5" s="24" t="s">
        <v>1166</v>
      </c>
      <c r="Q5" s="71" t="s">
        <v>1167</v>
      </c>
      <c r="R5" s="24" t="s">
        <v>1168</v>
      </c>
      <c r="S5" s="24" t="s">
        <v>751</v>
      </c>
      <c r="T5" s="71" t="s">
        <v>1045</v>
      </c>
      <c r="U5" s="71" t="s">
        <v>1046</v>
      </c>
      <c r="V5" s="72" t="s">
        <v>1047</v>
      </c>
      <c r="W5" s="73" t="s">
        <v>1169</v>
      </c>
    </row>
    <row r="6" spans="2:23" x14ac:dyDescent="0.2">
      <c r="B6" s="74" t="s">
        <v>641</v>
      </c>
      <c r="C6" s="14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001/ASRI HQ-MAS/20/IV/2026</v>
      </c>
      <c r="D6" s="75">
        <v>46132</v>
      </c>
      <c r="E6" s="76" t="str">
        <f>TEXT(Table156[[#This Row],[date]],"DD")</f>
        <v>20</v>
      </c>
      <c r="F6" s="76" t="str">
        <f>TEXT(Table156[[#This Row],[date]],"MM")</f>
        <v>04</v>
      </c>
      <c r="G6" s="14" t="s">
        <v>1049</v>
      </c>
      <c r="H6" s="46" t="s">
        <v>1050</v>
      </c>
      <c r="I6" s="14" t="s">
        <v>1051</v>
      </c>
      <c r="J6" s="14" t="s">
        <v>1052</v>
      </c>
      <c r="K6" s="14" t="s">
        <v>1053</v>
      </c>
      <c r="L6" s="14" t="s">
        <v>1054</v>
      </c>
      <c r="M6" s="14" t="s">
        <v>1055</v>
      </c>
      <c r="N6" s="14" t="s">
        <v>1056</v>
      </c>
      <c r="O6" s="14" t="s">
        <v>253</v>
      </c>
      <c r="P6" s="14" t="s">
        <v>233</v>
      </c>
      <c r="Q6" s="14" t="s">
        <v>1057</v>
      </c>
      <c r="R6" s="15" t="s">
        <v>1058</v>
      </c>
      <c r="S6" s="77">
        <v>11500000</v>
      </c>
      <c r="T6" s="78"/>
      <c r="U6" s="78"/>
      <c r="V6" s="79"/>
      <c r="W6" s="80" t="s">
        <v>1059</v>
      </c>
    </row>
    <row r="7" spans="2:23" x14ac:dyDescent="0.2">
      <c r="B7" s="74" t="s">
        <v>642</v>
      </c>
      <c r="C7" s="14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002/ASRI HQ-MAS/05/V/2026</v>
      </c>
      <c r="D7" s="75">
        <v>46147</v>
      </c>
      <c r="E7" s="76" t="str">
        <f>TEXT(Table156[[#This Row],[date]],"DD")</f>
        <v>05</v>
      </c>
      <c r="F7" s="76" t="str">
        <f>TEXT(Table156[[#This Row],[date]],"MM")</f>
        <v>05</v>
      </c>
      <c r="G7" s="14" t="s">
        <v>1060</v>
      </c>
      <c r="H7" s="46" t="s">
        <v>1061</v>
      </c>
      <c r="I7" s="14" t="s">
        <v>1062</v>
      </c>
      <c r="J7" s="14" t="s">
        <v>1063</v>
      </c>
      <c r="K7" s="14" t="s">
        <v>1064</v>
      </c>
      <c r="L7" s="14" t="s">
        <v>1054</v>
      </c>
      <c r="M7" s="14" t="s">
        <v>1055</v>
      </c>
      <c r="N7" s="14" t="s">
        <v>1056</v>
      </c>
      <c r="O7" s="14" t="s">
        <v>253</v>
      </c>
      <c r="P7" s="14" t="s">
        <v>233</v>
      </c>
      <c r="Q7" s="14" t="s">
        <v>1065</v>
      </c>
      <c r="R7" s="15" t="s">
        <v>1058</v>
      </c>
      <c r="S7" s="77">
        <v>11500000</v>
      </c>
      <c r="T7" s="78" t="s">
        <v>1066</v>
      </c>
      <c r="U7" s="78" t="s">
        <v>1067</v>
      </c>
      <c r="V7" s="79">
        <v>46146</v>
      </c>
      <c r="W7" s="80" t="s">
        <v>1068</v>
      </c>
    </row>
    <row r="8" spans="2:23" x14ac:dyDescent="0.2">
      <c r="B8" s="74" t="s">
        <v>643</v>
      </c>
      <c r="C8" s="14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003/ASRI HQ-MAS/05/V/2026</v>
      </c>
      <c r="D8" s="75">
        <v>46147</v>
      </c>
      <c r="E8" s="76" t="str">
        <f>TEXT(Table156[[#This Row],[date]],"DD")</f>
        <v>05</v>
      </c>
      <c r="F8" s="76" t="str">
        <f>TEXT(Table156[[#This Row],[date]],"MM")</f>
        <v>05</v>
      </c>
      <c r="G8" s="14" t="s">
        <v>1069</v>
      </c>
      <c r="H8" s="46" t="s">
        <v>1070</v>
      </c>
      <c r="I8" s="14" t="s">
        <v>1071</v>
      </c>
      <c r="J8" s="14" t="s">
        <v>1063</v>
      </c>
      <c r="K8" s="14" t="s">
        <v>1064</v>
      </c>
      <c r="L8" s="14" t="s">
        <v>1054</v>
      </c>
      <c r="M8" s="14" t="s">
        <v>1055</v>
      </c>
      <c r="N8" s="14" t="s">
        <v>1056</v>
      </c>
      <c r="O8" s="14" t="s">
        <v>253</v>
      </c>
      <c r="P8" s="14" t="s">
        <v>233</v>
      </c>
      <c r="Q8" s="14" t="s">
        <v>1072</v>
      </c>
      <c r="R8" s="15" t="s">
        <v>1058</v>
      </c>
      <c r="S8" s="77">
        <v>11500000</v>
      </c>
      <c r="T8" s="78" t="s">
        <v>1066</v>
      </c>
      <c r="U8" s="78" t="s">
        <v>1067</v>
      </c>
      <c r="V8" s="79">
        <v>46146</v>
      </c>
      <c r="W8" s="80" t="s">
        <v>1068</v>
      </c>
    </row>
    <row r="9" spans="2:23" x14ac:dyDescent="0.2">
      <c r="B9" s="74" t="s">
        <v>644</v>
      </c>
      <c r="C9" s="14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004/ASRI HQ-MAS/05/V/2026</v>
      </c>
      <c r="D9" s="75">
        <v>46147</v>
      </c>
      <c r="E9" s="76" t="str">
        <f>TEXT(Table156[[#This Row],[date]],"DD")</f>
        <v>05</v>
      </c>
      <c r="F9" s="76" t="str">
        <f>TEXT(Table156[[#This Row],[date]],"MM")</f>
        <v>05</v>
      </c>
      <c r="G9" s="14" t="s">
        <v>1073</v>
      </c>
      <c r="H9" s="46" t="s">
        <v>1074</v>
      </c>
      <c r="I9" s="14" t="s">
        <v>1075</v>
      </c>
      <c r="J9" s="14" t="s">
        <v>1063</v>
      </c>
      <c r="K9" s="14" t="s">
        <v>1064</v>
      </c>
      <c r="L9" s="14" t="s">
        <v>1054</v>
      </c>
      <c r="M9" s="14" t="s">
        <v>1055</v>
      </c>
      <c r="N9" s="14" t="s">
        <v>1056</v>
      </c>
      <c r="O9" s="14" t="s">
        <v>253</v>
      </c>
      <c r="P9" s="14" t="s">
        <v>233</v>
      </c>
      <c r="Q9" s="14" t="s">
        <v>1076</v>
      </c>
      <c r="R9" s="15" t="s">
        <v>1058</v>
      </c>
      <c r="S9" s="77">
        <v>11500000</v>
      </c>
      <c r="T9" s="78" t="s">
        <v>1066</v>
      </c>
      <c r="U9" s="78" t="s">
        <v>1067</v>
      </c>
      <c r="V9" s="79">
        <v>46146</v>
      </c>
      <c r="W9" s="80" t="s">
        <v>1068</v>
      </c>
    </row>
    <row r="10" spans="2:23" x14ac:dyDescent="0.2">
      <c r="B10" s="74" t="s">
        <v>1077</v>
      </c>
      <c r="C10" s="27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005/ASRI HQ-MAS/05/V/2026</v>
      </c>
      <c r="D10" s="75">
        <v>46147</v>
      </c>
      <c r="E10" s="81" t="str">
        <f>TEXT(Table156[[#This Row],[date]],"DD")</f>
        <v>05</v>
      </c>
      <c r="F10" s="81" t="str">
        <f>TEXT(Table156[[#This Row],[date]],"MM")</f>
        <v>05</v>
      </c>
      <c r="G10" s="14" t="s">
        <v>1078</v>
      </c>
      <c r="H10" s="46" t="s">
        <v>1079</v>
      </c>
      <c r="I10" s="27" t="s">
        <v>1080</v>
      </c>
      <c r="J10" s="27" t="s">
        <v>1063</v>
      </c>
      <c r="K10" s="27" t="s">
        <v>1064</v>
      </c>
      <c r="L10" s="27" t="s">
        <v>1054</v>
      </c>
      <c r="M10" s="27" t="s">
        <v>1055</v>
      </c>
      <c r="N10" s="14" t="s">
        <v>1056</v>
      </c>
      <c r="O10" s="14" t="s">
        <v>253</v>
      </c>
      <c r="P10" s="27" t="s">
        <v>233</v>
      </c>
      <c r="Q10" s="27" t="s">
        <v>1081</v>
      </c>
      <c r="R10" s="15" t="s">
        <v>1058</v>
      </c>
      <c r="S10" s="82">
        <v>11500000</v>
      </c>
      <c r="T10" s="78" t="s">
        <v>1066</v>
      </c>
      <c r="U10" s="78" t="s">
        <v>1067</v>
      </c>
      <c r="V10" s="79">
        <v>46146</v>
      </c>
      <c r="W10" s="80" t="s">
        <v>1068</v>
      </c>
    </row>
    <row r="11" spans="2:23" x14ac:dyDescent="0.2">
      <c r="B11" s="74" t="s">
        <v>1082</v>
      </c>
      <c r="C11" s="27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006/ASRI HQ-MAS/05/V/2026</v>
      </c>
      <c r="D11" s="75">
        <v>46147</v>
      </c>
      <c r="E11" s="81" t="str">
        <f>TEXT(Table156[[#This Row],[date]],"DD")</f>
        <v>05</v>
      </c>
      <c r="F11" s="81" t="str">
        <f>TEXT(Table156[[#This Row],[date]],"MM")</f>
        <v>05</v>
      </c>
      <c r="G11" s="14" t="s">
        <v>1083</v>
      </c>
      <c r="H11" s="46" t="s">
        <v>1084</v>
      </c>
      <c r="I11" s="27" t="s">
        <v>1085</v>
      </c>
      <c r="J11" s="27" t="s">
        <v>1063</v>
      </c>
      <c r="K11" s="27" t="s">
        <v>1064</v>
      </c>
      <c r="L11" s="27" t="s">
        <v>1054</v>
      </c>
      <c r="M11" s="27" t="s">
        <v>1055</v>
      </c>
      <c r="N11" s="14" t="s">
        <v>1056</v>
      </c>
      <c r="O11" s="14" t="s">
        <v>253</v>
      </c>
      <c r="P11" s="27" t="s">
        <v>233</v>
      </c>
      <c r="Q11" s="27" t="s">
        <v>1086</v>
      </c>
      <c r="R11" s="15" t="s">
        <v>1058</v>
      </c>
      <c r="S11" s="82">
        <v>11500000</v>
      </c>
      <c r="T11" s="78" t="s">
        <v>1066</v>
      </c>
      <c r="U11" s="78" t="s">
        <v>1067</v>
      </c>
      <c r="V11" s="79">
        <v>46146</v>
      </c>
      <c r="W11" s="80" t="s">
        <v>1068</v>
      </c>
    </row>
    <row r="12" spans="2:23" x14ac:dyDescent="0.2">
      <c r="B12" s="74" t="s">
        <v>1087</v>
      </c>
      <c r="C12" s="27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007/ASRI HQ-MAS/05/V/2026</v>
      </c>
      <c r="D12" s="75">
        <v>46147</v>
      </c>
      <c r="E12" s="81" t="str">
        <f>TEXT(Table156[[#This Row],[date]],"DD")</f>
        <v>05</v>
      </c>
      <c r="F12" s="81" t="str">
        <f>TEXT(Table156[[#This Row],[date]],"MM")</f>
        <v>05</v>
      </c>
      <c r="G12" s="14" t="s">
        <v>1088</v>
      </c>
      <c r="H12" s="46" t="s">
        <v>1089</v>
      </c>
      <c r="I12" s="27" t="s">
        <v>1090</v>
      </c>
      <c r="J12" s="27" t="s">
        <v>1063</v>
      </c>
      <c r="K12" s="27" t="s">
        <v>1064</v>
      </c>
      <c r="L12" s="27" t="s">
        <v>1054</v>
      </c>
      <c r="M12" s="27" t="s">
        <v>1055</v>
      </c>
      <c r="N12" s="14" t="s">
        <v>1056</v>
      </c>
      <c r="O12" s="14" t="s">
        <v>253</v>
      </c>
      <c r="P12" s="27" t="s">
        <v>233</v>
      </c>
      <c r="Q12" s="27" t="s">
        <v>1091</v>
      </c>
      <c r="R12" s="15" t="s">
        <v>1058</v>
      </c>
      <c r="S12" s="82">
        <v>11500000</v>
      </c>
      <c r="T12" s="78" t="s">
        <v>1066</v>
      </c>
      <c r="U12" s="78" t="s">
        <v>1067</v>
      </c>
      <c r="V12" s="79">
        <v>46146</v>
      </c>
      <c r="W12" s="80" t="s">
        <v>1068</v>
      </c>
    </row>
    <row r="13" spans="2:23" x14ac:dyDescent="0.2">
      <c r="B13" s="74" t="s">
        <v>1092</v>
      </c>
      <c r="C13" s="14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008/ASRI HQ-MAS/05/V/2026</v>
      </c>
      <c r="D13" s="75">
        <v>46147</v>
      </c>
      <c r="E13" s="76" t="str">
        <f>TEXT(Table156[[#This Row],[date]],"DD")</f>
        <v>05</v>
      </c>
      <c r="F13" s="76" t="str">
        <f>TEXT(Table156[[#This Row],[date]],"MM")</f>
        <v>05</v>
      </c>
      <c r="G13" s="14" t="s">
        <v>1093</v>
      </c>
      <c r="H13" s="46" t="s">
        <v>1094</v>
      </c>
      <c r="I13" s="14" t="s">
        <v>1095</v>
      </c>
      <c r="J13" s="27" t="s">
        <v>1063</v>
      </c>
      <c r="K13" s="27" t="s">
        <v>1064</v>
      </c>
      <c r="L13" s="27" t="s">
        <v>1054</v>
      </c>
      <c r="M13" s="27" t="s">
        <v>1055</v>
      </c>
      <c r="N13" s="14" t="s">
        <v>1056</v>
      </c>
      <c r="O13" s="14" t="s">
        <v>253</v>
      </c>
      <c r="P13" s="27" t="s">
        <v>233</v>
      </c>
      <c r="Q13" s="14" t="s">
        <v>1096</v>
      </c>
      <c r="R13" s="15" t="s">
        <v>1058</v>
      </c>
      <c r="S13" s="82">
        <v>11500000</v>
      </c>
      <c r="T13" s="78" t="s">
        <v>1066</v>
      </c>
      <c r="U13" s="78" t="s">
        <v>1067</v>
      </c>
      <c r="V13" s="79">
        <v>46146</v>
      </c>
      <c r="W13" s="80" t="s">
        <v>1068</v>
      </c>
    </row>
    <row r="14" spans="2:23" x14ac:dyDescent="0.2">
      <c r="B14" s="74" t="s">
        <v>1097</v>
      </c>
      <c r="C14" s="14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009/ASRI HQ-MAS/05/V/2026</v>
      </c>
      <c r="D14" s="75">
        <v>46147</v>
      </c>
      <c r="E14" s="76" t="str">
        <f>TEXT(Table156[[#This Row],[date]],"DD")</f>
        <v>05</v>
      </c>
      <c r="F14" s="76" t="str">
        <f>TEXT(Table156[[#This Row],[date]],"MM")</f>
        <v>05</v>
      </c>
      <c r="G14" s="14" t="s">
        <v>1098</v>
      </c>
      <c r="H14" s="46" t="s">
        <v>1099</v>
      </c>
      <c r="I14" s="14" t="s">
        <v>1100</v>
      </c>
      <c r="J14" s="27" t="s">
        <v>1063</v>
      </c>
      <c r="K14" s="27" t="s">
        <v>1064</v>
      </c>
      <c r="L14" s="27" t="s">
        <v>1054</v>
      </c>
      <c r="M14" s="27" t="s">
        <v>1055</v>
      </c>
      <c r="N14" s="14" t="s">
        <v>1056</v>
      </c>
      <c r="O14" s="14" t="s">
        <v>253</v>
      </c>
      <c r="P14" s="27" t="s">
        <v>233</v>
      </c>
      <c r="Q14" s="14" t="s">
        <v>1101</v>
      </c>
      <c r="R14" s="15" t="s">
        <v>1058</v>
      </c>
      <c r="S14" s="82">
        <v>12400000</v>
      </c>
      <c r="T14" s="78" t="s">
        <v>1066</v>
      </c>
      <c r="U14" s="78" t="s">
        <v>1067</v>
      </c>
      <c r="V14" s="79">
        <v>46146</v>
      </c>
      <c r="W14" s="80" t="s">
        <v>1068</v>
      </c>
    </row>
    <row r="15" spans="2:23" x14ac:dyDescent="0.2">
      <c r="B15" s="74" t="s">
        <v>1102</v>
      </c>
      <c r="C15" s="14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010/ASRI HQ-MAS/05/V/2026</v>
      </c>
      <c r="D15" s="75">
        <v>46147</v>
      </c>
      <c r="E15" s="76" t="str">
        <f>TEXT(Table156[[#This Row],[date]],"DD")</f>
        <v>05</v>
      </c>
      <c r="F15" s="76" t="str">
        <f>TEXT(Table156[[#This Row],[date]],"MM")</f>
        <v>05</v>
      </c>
      <c r="G15" s="14" t="s">
        <v>1103</v>
      </c>
      <c r="H15" s="46" t="s">
        <v>1104</v>
      </c>
      <c r="I15" s="14" t="s">
        <v>1105</v>
      </c>
      <c r="J15" s="27" t="s">
        <v>1106</v>
      </c>
      <c r="K15" s="14" t="s">
        <v>1107</v>
      </c>
      <c r="L15" s="27" t="s">
        <v>1054</v>
      </c>
      <c r="M15" s="27" t="s">
        <v>1055</v>
      </c>
      <c r="N15" s="14" t="s">
        <v>1056</v>
      </c>
      <c r="O15" s="14" t="s">
        <v>253</v>
      </c>
      <c r="P15" s="27" t="s">
        <v>233</v>
      </c>
      <c r="Q15" s="14" t="s">
        <v>1108</v>
      </c>
      <c r="R15" s="15" t="s">
        <v>1058</v>
      </c>
      <c r="S15" s="82">
        <v>12400000</v>
      </c>
      <c r="T15" s="78" t="s">
        <v>1066</v>
      </c>
      <c r="U15" s="78" t="s">
        <v>1067</v>
      </c>
      <c r="V15" s="79">
        <v>46146</v>
      </c>
      <c r="W15" s="80" t="s">
        <v>1068</v>
      </c>
    </row>
    <row r="16" spans="2:23" x14ac:dyDescent="0.2">
      <c r="B16" s="74" t="s">
        <v>1109</v>
      </c>
      <c r="C16" s="14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011/ASRI HQ-MAS/05/V/2026</v>
      </c>
      <c r="D16" s="75">
        <v>46147</v>
      </c>
      <c r="E16" s="76" t="str">
        <f>TEXT(Table156[[#This Row],[date]],"DD")</f>
        <v>05</v>
      </c>
      <c r="F16" s="76" t="str">
        <f>TEXT(Table156[[#This Row],[date]],"MM")</f>
        <v>05</v>
      </c>
      <c r="G16" s="14" t="s">
        <v>1110</v>
      </c>
      <c r="H16" s="46" t="s">
        <v>1111</v>
      </c>
      <c r="I16" s="14" t="s">
        <v>1112</v>
      </c>
      <c r="J16" s="27" t="s">
        <v>1106</v>
      </c>
      <c r="K16" s="14" t="s">
        <v>1107</v>
      </c>
      <c r="L16" s="27" t="s">
        <v>1054</v>
      </c>
      <c r="M16" s="27" t="s">
        <v>1055</v>
      </c>
      <c r="N16" s="14" t="s">
        <v>1056</v>
      </c>
      <c r="O16" s="14" t="s">
        <v>253</v>
      </c>
      <c r="P16" s="27" t="s">
        <v>233</v>
      </c>
      <c r="Q16" s="14" t="s">
        <v>1113</v>
      </c>
      <c r="R16" s="15" t="s">
        <v>1058</v>
      </c>
      <c r="S16" s="82">
        <v>12400000</v>
      </c>
      <c r="T16" s="78" t="s">
        <v>1066</v>
      </c>
      <c r="U16" s="78" t="s">
        <v>1067</v>
      </c>
      <c r="V16" s="79">
        <v>46146</v>
      </c>
      <c r="W16" s="80" t="s">
        <v>1068</v>
      </c>
    </row>
    <row r="17" spans="2:23" x14ac:dyDescent="0.2">
      <c r="B17" s="74" t="s">
        <v>1114</v>
      </c>
      <c r="C17" s="14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012/ASRI HQ-MAS/05/V/2026</v>
      </c>
      <c r="D17" s="75">
        <v>46147</v>
      </c>
      <c r="E17" s="76" t="str">
        <f>TEXT(Table156[[#This Row],[date]],"DD")</f>
        <v>05</v>
      </c>
      <c r="F17" s="76" t="str">
        <f>TEXT(Table156[[#This Row],[date]],"MM")</f>
        <v>05</v>
      </c>
      <c r="G17" s="14" t="s">
        <v>1115</v>
      </c>
      <c r="H17" s="46" t="s">
        <v>1116</v>
      </c>
      <c r="I17" s="14" t="s">
        <v>1117</v>
      </c>
      <c r="J17" s="27" t="s">
        <v>1106</v>
      </c>
      <c r="K17" s="14" t="s">
        <v>1107</v>
      </c>
      <c r="L17" s="27" t="s">
        <v>1054</v>
      </c>
      <c r="M17" s="27" t="s">
        <v>1055</v>
      </c>
      <c r="N17" s="14" t="s">
        <v>1056</v>
      </c>
      <c r="O17" s="14" t="s">
        <v>253</v>
      </c>
      <c r="P17" s="27" t="s">
        <v>233</v>
      </c>
      <c r="Q17" s="14" t="s">
        <v>1118</v>
      </c>
      <c r="R17" s="15" t="s">
        <v>1058</v>
      </c>
      <c r="S17" s="82">
        <v>12400000</v>
      </c>
      <c r="T17" s="78" t="s">
        <v>1066</v>
      </c>
      <c r="U17" s="78" t="s">
        <v>1067</v>
      </c>
      <c r="V17" s="79">
        <v>46146</v>
      </c>
      <c r="W17" s="80" t="s">
        <v>1068</v>
      </c>
    </row>
    <row r="18" spans="2:23" x14ac:dyDescent="0.2">
      <c r="B18" s="74" t="s">
        <v>1119</v>
      </c>
      <c r="C18" s="14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013/ASRI HQ-MAS/05/V/2026</v>
      </c>
      <c r="D18" s="75">
        <v>46147</v>
      </c>
      <c r="E18" s="76" t="str">
        <f>TEXT(Table156[[#This Row],[date]],"DD")</f>
        <v>05</v>
      </c>
      <c r="F18" s="76" t="str">
        <f>TEXT(Table156[[#This Row],[date]],"MM")</f>
        <v>05</v>
      </c>
      <c r="G18" s="14" t="s">
        <v>1120</v>
      </c>
      <c r="H18" s="46" t="s">
        <v>1121</v>
      </c>
      <c r="I18" s="14" t="s">
        <v>1122</v>
      </c>
      <c r="J18" s="27" t="s">
        <v>1106</v>
      </c>
      <c r="K18" s="14" t="s">
        <v>1107</v>
      </c>
      <c r="L18" s="27" t="s">
        <v>1054</v>
      </c>
      <c r="M18" s="27" t="s">
        <v>1055</v>
      </c>
      <c r="N18" s="14" t="s">
        <v>1056</v>
      </c>
      <c r="O18" s="14" t="s">
        <v>253</v>
      </c>
      <c r="P18" s="27" t="s">
        <v>233</v>
      </c>
      <c r="Q18" s="14" t="s">
        <v>1123</v>
      </c>
      <c r="R18" s="15" t="s">
        <v>1058</v>
      </c>
      <c r="S18" s="82">
        <v>12400000</v>
      </c>
      <c r="T18" s="78" t="s">
        <v>1066</v>
      </c>
      <c r="U18" s="78" t="s">
        <v>1067</v>
      </c>
      <c r="V18" s="79">
        <v>46146</v>
      </c>
      <c r="W18" s="80" t="s">
        <v>1068</v>
      </c>
    </row>
    <row r="19" spans="2:23" x14ac:dyDescent="0.2">
      <c r="B19" s="74" t="s">
        <v>1124</v>
      </c>
      <c r="C19" s="14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014/ASRI HQ-MAS/05/V/2026</v>
      </c>
      <c r="D19" s="75">
        <v>46147</v>
      </c>
      <c r="E19" s="76" t="str">
        <f>TEXT(Table156[[#This Row],[date]],"DD")</f>
        <v>05</v>
      </c>
      <c r="F19" s="76" t="str">
        <f>TEXT(Table156[[#This Row],[date]],"MM")</f>
        <v>05</v>
      </c>
      <c r="G19" s="14" t="s">
        <v>1125</v>
      </c>
      <c r="H19" s="46" t="s">
        <v>1126</v>
      </c>
      <c r="I19" s="14" t="s">
        <v>1127</v>
      </c>
      <c r="J19" s="27" t="s">
        <v>1106</v>
      </c>
      <c r="K19" s="14" t="s">
        <v>1107</v>
      </c>
      <c r="L19" s="27" t="s">
        <v>1054</v>
      </c>
      <c r="M19" s="27" t="s">
        <v>1055</v>
      </c>
      <c r="N19" s="14" t="s">
        <v>1056</v>
      </c>
      <c r="O19" s="14" t="s">
        <v>253</v>
      </c>
      <c r="P19" s="27" t="s">
        <v>233</v>
      </c>
      <c r="Q19" s="14" t="s">
        <v>1128</v>
      </c>
      <c r="R19" s="15" t="s">
        <v>1058</v>
      </c>
      <c r="S19" s="82">
        <v>12400000</v>
      </c>
      <c r="T19" s="78" t="s">
        <v>1066</v>
      </c>
      <c r="U19" s="78" t="s">
        <v>1067</v>
      </c>
      <c r="V19" s="79">
        <v>46146</v>
      </c>
      <c r="W19" s="80" t="s">
        <v>1068</v>
      </c>
    </row>
    <row r="20" spans="2:23" x14ac:dyDescent="0.2">
      <c r="B20" s="74" t="s">
        <v>1129</v>
      </c>
      <c r="C20" s="14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015/ASRI HQ-MAS/05/V/2026</v>
      </c>
      <c r="D20" s="75">
        <v>46147</v>
      </c>
      <c r="E20" s="76" t="str">
        <f>TEXT(Table156[[#This Row],[date]],"DD")</f>
        <v>05</v>
      </c>
      <c r="F20" s="76" t="str">
        <f>TEXT(Table156[[#This Row],[date]],"MM")</f>
        <v>05</v>
      </c>
      <c r="G20" s="14" t="s">
        <v>1130</v>
      </c>
      <c r="H20" s="46" t="s">
        <v>1131</v>
      </c>
      <c r="I20" s="14" t="s">
        <v>1132</v>
      </c>
      <c r="J20" s="27" t="s">
        <v>1106</v>
      </c>
      <c r="K20" s="14" t="s">
        <v>1107</v>
      </c>
      <c r="L20" s="27" t="s">
        <v>1054</v>
      </c>
      <c r="M20" s="27" t="s">
        <v>1055</v>
      </c>
      <c r="N20" s="14" t="s">
        <v>1056</v>
      </c>
      <c r="O20" s="14" t="s">
        <v>253</v>
      </c>
      <c r="P20" s="27" t="s">
        <v>233</v>
      </c>
      <c r="Q20" s="14" t="s">
        <v>1133</v>
      </c>
      <c r="R20" s="15" t="s">
        <v>1058</v>
      </c>
      <c r="S20" s="82">
        <v>12400000</v>
      </c>
      <c r="T20" s="78" t="s">
        <v>1066</v>
      </c>
      <c r="U20" s="78" t="s">
        <v>1067</v>
      </c>
      <c r="V20" s="79">
        <v>46146</v>
      </c>
      <c r="W20" s="80" t="s">
        <v>1068</v>
      </c>
    </row>
    <row r="21" spans="2:23" x14ac:dyDescent="0.2">
      <c r="B21" s="74" t="s">
        <v>1134</v>
      </c>
      <c r="C21" s="14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016/ASRI HQ-MAS/05/V/2026</v>
      </c>
      <c r="D21" s="75">
        <v>46147</v>
      </c>
      <c r="E21" s="76" t="str">
        <f>TEXT(Table156[[#This Row],[date]],"DD")</f>
        <v>05</v>
      </c>
      <c r="F21" s="76" t="str">
        <f>TEXT(Table156[[#This Row],[date]],"MM")</f>
        <v>05</v>
      </c>
      <c r="G21" s="14" t="s">
        <v>1135</v>
      </c>
      <c r="H21" s="46" t="s">
        <v>1136</v>
      </c>
      <c r="I21" s="14" t="s">
        <v>1137</v>
      </c>
      <c r="J21" s="27" t="s">
        <v>1106</v>
      </c>
      <c r="K21" s="14" t="s">
        <v>1107</v>
      </c>
      <c r="L21" s="27" t="s">
        <v>1054</v>
      </c>
      <c r="M21" s="27" t="s">
        <v>1055</v>
      </c>
      <c r="N21" s="14" t="s">
        <v>1056</v>
      </c>
      <c r="O21" s="14" t="s">
        <v>253</v>
      </c>
      <c r="P21" s="27" t="s">
        <v>233</v>
      </c>
      <c r="Q21" s="14" t="s">
        <v>1138</v>
      </c>
      <c r="R21" s="15" t="s">
        <v>1058</v>
      </c>
      <c r="S21" s="82">
        <v>12400000</v>
      </c>
      <c r="T21" s="78" t="s">
        <v>1066</v>
      </c>
      <c r="U21" s="78" t="s">
        <v>1067</v>
      </c>
      <c r="V21" s="79">
        <v>46146</v>
      </c>
      <c r="W21" s="80" t="s">
        <v>1068</v>
      </c>
    </row>
    <row r="22" spans="2:23" x14ac:dyDescent="0.2">
      <c r="B22" s="74" t="s">
        <v>1139</v>
      </c>
      <c r="C22" s="14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017/ASRI HQ-MAS/09/VI/2026</v>
      </c>
      <c r="D22" s="75">
        <v>46182</v>
      </c>
      <c r="E22" s="76" t="str">
        <f>TEXT(Table156[[#This Row],[date]],"DD")</f>
        <v>09</v>
      </c>
      <c r="F22" s="76" t="str">
        <f>TEXT(Table156[[#This Row],[date]],"MM")</f>
        <v>06</v>
      </c>
      <c r="G22" s="14" t="s">
        <v>1140</v>
      </c>
      <c r="H22" s="46" t="s">
        <v>470</v>
      </c>
      <c r="I22" s="14" t="s">
        <v>491</v>
      </c>
      <c r="J22" s="14" t="s">
        <v>1141</v>
      </c>
      <c r="K22" s="14" t="s">
        <v>523</v>
      </c>
      <c r="L22" s="14" t="s">
        <v>1054</v>
      </c>
      <c r="M22" s="14" t="s">
        <v>1055</v>
      </c>
      <c r="N22" s="14" t="s">
        <v>1056</v>
      </c>
      <c r="O22" s="14" t="s">
        <v>253</v>
      </c>
      <c r="P22" s="14" t="s">
        <v>232</v>
      </c>
      <c r="Q22" s="14" t="s">
        <v>1142</v>
      </c>
      <c r="R22" s="15" t="s">
        <v>1058</v>
      </c>
      <c r="S22" s="77">
        <v>16550000</v>
      </c>
      <c r="T22" s="78" t="s">
        <v>1143</v>
      </c>
      <c r="U22" s="78" t="s">
        <v>600</v>
      </c>
      <c r="V22" s="79">
        <v>45632</v>
      </c>
      <c r="W22" s="80" t="s">
        <v>1059</v>
      </c>
    </row>
    <row r="23" spans="2:23" x14ac:dyDescent="0.2">
      <c r="B23" s="74" t="s">
        <v>1144</v>
      </c>
      <c r="C23" s="27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018/ASRI HQ-MAS/10/VI/2026</v>
      </c>
      <c r="D23" s="83">
        <v>46183</v>
      </c>
      <c r="E23" s="81" t="str">
        <f>TEXT(Table156[[#This Row],[date]],"DD")</f>
        <v>10</v>
      </c>
      <c r="F23" s="81" t="str">
        <f>TEXT(Table156[[#This Row],[date]],"MM")</f>
        <v>06</v>
      </c>
      <c r="G23" s="27" t="s">
        <v>506</v>
      </c>
      <c r="H23" s="51" t="s">
        <v>555</v>
      </c>
      <c r="I23" s="27" t="s">
        <v>484</v>
      </c>
      <c r="J23" s="27" t="s">
        <v>1145</v>
      </c>
      <c r="K23" s="27" t="s">
        <v>521</v>
      </c>
      <c r="L23" s="27" t="s">
        <v>1146</v>
      </c>
      <c r="M23" s="27" t="s">
        <v>1147</v>
      </c>
      <c r="N23" s="27" t="s">
        <v>1056</v>
      </c>
      <c r="O23" s="27" t="s">
        <v>253</v>
      </c>
      <c r="P23" s="27" t="s">
        <v>232</v>
      </c>
      <c r="Q23" s="27" t="s">
        <v>1148</v>
      </c>
      <c r="R23" s="15" t="s">
        <v>1171</v>
      </c>
      <c r="S23" s="82">
        <v>15300000</v>
      </c>
      <c r="T23" s="84" t="s">
        <v>494</v>
      </c>
      <c r="U23" s="84"/>
      <c r="V23" s="85">
        <v>45268</v>
      </c>
      <c r="W23" s="80" t="s">
        <v>1059</v>
      </c>
    </row>
    <row r="24" spans="2:23" x14ac:dyDescent="0.2">
      <c r="B24" s="74" t="s">
        <v>1149</v>
      </c>
      <c r="C24" s="27" t="str">
        <f>Table156[[#This Row],[NO.]]&amp;"/"&amp;Table156[[#This Row],[id_site]]&amp;"-"&amp;Table156[[#This Row],[id_corp]]&amp;"/"&amp;TEXT(Table156[[#This Row],[date]],"DD")&amp;"/"&amp;ROMAN(TEXT(Table156[[#This Row],[date]],"MM"))&amp;"/"&amp;TEXT(Table156[[#This Row],[date]],"YYYY")</f>
        <v>019/ASRI HQ-MAS/29/VI/2026</v>
      </c>
      <c r="D24" s="83">
        <v>46202</v>
      </c>
      <c r="E24" s="81" t="str">
        <f>TEXT(Table156[[#This Row],[date]],"DD")</f>
        <v>29</v>
      </c>
      <c r="F24" s="81" t="str">
        <f>TEXT(Table156[[#This Row],[date]],"MM")</f>
        <v>06</v>
      </c>
      <c r="G24" s="27" t="s">
        <v>1150</v>
      </c>
      <c r="H24" s="51" t="s">
        <v>1151</v>
      </c>
      <c r="I24" s="27" t="s">
        <v>1152</v>
      </c>
      <c r="J24" s="27" t="s">
        <v>1153</v>
      </c>
      <c r="K24" s="27" t="s">
        <v>1154</v>
      </c>
      <c r="L24" s="27" t="s">
        <v>1054</v>
      </c>
      <c r="M24" s="27" t="s">
        <v>1155</v>
      </c>
      <c r="N24" s="27" t="s">
        <v>1056</v>
      </c>
      <c r="O24" s="27" t="s">
        <v>253</v>
      </c>
      <c r="P24" s="27" t="s">
        <v>1156</v>
      </c>
      <c r="Q24" s="27" t="s">
        <v>1157</v>
      </c>
      <c r="R24" s="32" t="s">
        <v>1170</v>
      </c>
      <c r="S24" s="82">
        <v>23700000</v>
      </c>
      <c r="T24" s="84" t="s">
        <v>1158</v>
      </c>
      <c r="U24" s="84"/>
      <c r="V24" s="85">
        <v>45491</v>
      </c>
      <c r="W24" s="80" t="s">
        <v>1059</v>
      </c>
    </row>
  </sheetData>
  <conditionalFormatting sqref="B6:B24">
    <cfRule type="duplicateValues" dxfId="2" priority="2"/>
  </conditionalFormatting>
  <conditionalFormatting sqref="C6:C24">
    <cfRule type="duplicateValues" dxfId="1" priority="3"/>
  </conditionalFormatting>
  <conditionalFormatting sqref="I6:I24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EMPLOYEES</vt:lpstr>
      <vt:lpstr>LEVEL</vt:lpstr>
      <vt:lpstr>Organization</vt:lpstr>
      <vt:lpstr>DIRECTORATE</vt:lpstr>
      <vt:lpstr>DIVISION</vt:lpstr>
      <vt:lpstr>DEPARTEMENT</vt:lpstr>
      <vt:lpstr>SUB-DEPARTEMENT</vt:lpstr>
      <vt:lpstr>BUSINESS-UNIT</vt:lpstr>
      <vt:lpstr>CORP</vt:lpstr>
      <vt:lpstr>SITE</vt:lpstr>
      <vt:lpstr>EMAIL</vt:lpstr>
      <vt:lpstr>AD</vt:lpstr>
      <vt:lpstr>ME</vt:lpstr>
      <vt:lpstr>TASK</vt:lpstr>
      <vt:lpstr>WH</vt:lpstr>
      <vt:lpstr>AM</vt:lpstr>
      <vt:lpstr>CATEGORY_ASSETS</vt:lpstr>
      <vt:lpstr>CATEGORY_DEVICE</vt:lpstr>
      <vt:lpstr>COMPD</vt:lpstr>
      <vt:lpstr>PARTS</vt:lpstr>
      <vt:lpstr>Q-WS</vt:lpstr>
      <vt:lpstr>DOC.FORM</vt:lpstr>
      <vt:lpstr>DOC.BOQ</vt:lpstr>
      <vt:lpstr>DOC.WPR</vt:lpstr>
      <vt:lpstr>DOC.PO</vt:lpstr>
      <vt:lpstr>DOC.BAST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Degia Parlopa Pasaribu</dc:creator>
  <cp:lastModifiedBy>Degia Parlopa</cp:lastModifiedBy>
  <dcterms:created xsi:type="dcterms:W3CDTF">2015-06-05T18:17:20Z</dcterms:created>
  <dcterms:modified xsi:type="dcterms:W3CDTF">2026-06-26T04:26:42Z</dcterms:modified>
</cp:coreProperties>
</file>